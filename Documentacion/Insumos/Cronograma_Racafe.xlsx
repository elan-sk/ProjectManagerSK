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Festivos" sheetId="2" state="visible" r:id="rId4"/>
    <sheet name="Cronograma" sheetId="3" state="visible" r:id="rId5"/>
    <sheet name="Dashboard" sheetId="4" state="visible" r:id="rId6"/>
    <sheet name="Sprints y Entregas" sheetId="5" state="visible" r:id="rId7"/>
    <sheet name="Equipo" sheetId="6" state="visible" r:id="rId8"/>
  </sheets>
  <definedNames>
    <definedName function="false" hidden="true" localSheetId="2" name="_xlnm._FilterDatabase" vbProcedure="false">Cronograma!$A$3:$Q$32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<sst xmlns="http://schemas.openxmlformats.org/spreadsheetml/2006/main" count="326" uniqueCount="248">
  <si>
    <t xml:space="preserve">Parámetros del proyecto — Reconversión racafe.com.co</t>
  </si>
  <si>
    <t xml:space="preserve">Fecha de inicio del proyecto</t>
  </si>
  <si>
    <t xml:space="preserve">← EDITAR AQUÍ si el proyecto no arranca mañana. Todo el cronograma se recalcula solo.</t>
  </si>
  <si>
    <t xml:space="preserve">Jornada laboral</t>
  </si>
  <si>
    <t xml:space="preserve">8h · Lunes a Viernes</t>
  </si>
  <si>
    <t xml:space="preserve">Colchón de contingencia sugerido (días hábiles)</t>
  </si>
  <si>
    <t xml:space="preserve">← EDITAR. Holgura extra sobre la fecha de lanzamiento estimada, antes de comprometerla con el cliente.</t>
  </si>
  <si>
    <t xml:space="preserve">Festivos Colombia</t>
  </si>
  <si>
    <t xml:space="preserve">→ ver pestaña "Festivos" (se pueden editar/agregar ahí, todo el cronograma se recalcula solo)</t>
  </si>
  <si>
    <t xml:space="preserve">Festivos Colombia — vigentes durante el proyecto (editable)</t>
  </si>
  <si>
    <t xml:space="preserve">Fecha</t>
  </si>
  <si>
    <t xml:space="preserve">Festivo</t>
  </si>
  <si>
    <t xml:space="preserve">Año Nuevo</t>
  </si>
  <si>
    <t xml:space="preserve">Día de los Reyes Magos</t>
  </si>
  <si>
    <t xml:space="preserve">Día de San José</t>
  </si>
  <si>
    <t xml:space="preserve">Jueves Santo</t>
  </si>
  <si>
    <t xml:space="preserve">Viernes Santo</t>
  </si>
  <si>
    <t xml:space="preserve">Día del Trabajo</t>
  </si>
  <si>
    <t xml:space="preserve">Ascensión del Señor</t>
  </si>
  <si>
    <t xml:space="preserve">Corpus Christi</t>
  </si>
  <si>
    <t xml:space="preserve">Sagrado Corazón de Jesús</t>
  </si>
  <si>
    <t xml:space="preserve">San Pedro y San Pablo</t>
  </si>
  <si>
    <t xml:space="preserve">Virgen de Chiquinquirá (nuevo festivo, Ley 2578 de 2026)</t>
  </si>
  <si>
    <t xml:space="preserve">Independencia de Colombia</t>
  </si>
  <si>
    <t xml:space="preserve">Batalla de Boyacá</t>
  </si>
  <si>
    <t xml:space="preserve">Asunción de la Virgen</t>
  </si>
  <si>
    <t xml:space="preserve">Día de la Raza</t>
  </si>
  <si>
    <t xml:space="preserve">Todos los Santos</t>
  </si>
  <si>
    <t xml:space="preserve">Independencia de Cartagena</t>
  </si>
  <si>
    <t xml:space="preserve">Inmaculada Concepción</t>
  </si>
  <si>
    <t xml:space="preserve">Navidad</t>
  </si>
  <si>
    <t xml:space="preserve">Nota: si el proyecto se extiende más allá de dic. 2026, agregar aquí los festivos de 2027 (las fórmulas del Cronograma ya apuntan a este rango; solo agrega filas debajo de la última fecha y actualiza el rango de referencia si te sales de A3:A21).</t>
  </si>
  <si>
    <t xml:space="preserve">CRONOGRAMA — Reconversión racafe.com.co
Home + 3 secciones por perfil de cliente + Quiénes somos / Contacto + Landing Crecer</t>
  </si>
  <si>
    <t xml:space="preserve">AVANCE EN EL TIEMPO — cada columna = 1 día hábil desde la fecha de inicio (Config). Fines de semana y festivos no se muestran.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</si>
  <si>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</si>
  <si>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</si>
  <si>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</si>
  <si>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</si>
  <si>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</si>
  <si>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ID</t>
  </si>
  <si>
    <t xml:space="preserve">Fase</t>
  </si>
  <si>
    <t xml:space="preserve">Bloque / Tarea</t>
  </si>
  <si>
    <t xml:space="preserve">Responsable(s)</t>
  </si>
  <si>
    <t xml:space="preserve">Días
hábiles</t>
  </si>
  <si>
    <t xml:space="preserve">Fecha inicio
(plan)</t>
  </si>
  <si>
    <t xml:space="preserve">Fecha fin
(plan)</t>
  </si>
  <si>
    <t xml:space="preserve">Fecha inicio
real</t>
  </si>
  <si>
    <t xml:space="preserve">Fecha fin
real</t>
  </si>
  <si>
    <t xml:space="preserve">Holgura
(días hábiles)</t>
  </si>
  <si>
    <t xml:space="preserve">Riesgo</t>
  </si>
  <si>
    <t xml:space="preserve">Estado
(automático)</t>
  </si>
  <si>
    <t xml:space="preserve">% Avance
(automático)</t>
  </si>
  <si>
    <t xml:space="preserve">Alerta</t>
  </si>
  <si>
    <t xml:space="preserve">Cumplimiento</t>
  </si>
  <si>
    <t xml:space="preserve">Punto crítico</t>
  </si>
  <si>
    <t xml:space="preserve">Depende de / Notas</t>
  </si>
  <si>
    <t xml:space="preserve">1.1</t>
  </si>
  <si>
    <t xml:space="preserve">Fase 1 — Definición técnica y diseño</t>
  </si>
  <si>
    <t xml:space="preserve">Kickoff y definición técnica final (plataforma, accesos Racafé)</t>
  </si>
  <si>
    <t xml:space="preserve">Cliente, Sistemas Racafé, Elan, Consultor Externo</t>
  </si>
  <si>
    <t xml:space="preserve">Alto</t>
  </si>
  <si>
    <t xml:space="preserve">Arranque del proyecto</t>
  </si>
  <si>
    <t xml:space="preserve">1.2</t>
  </si>
  <si>
    <t xml:space="preserve">Diseño UX/UI — propuesta inicial (Figma, sistema de navegación)</t>
  </si>
  <si>
    <t xml:space="preserve">Diseñador, Elan</t>
  </si>
  <si>
    <t xml:space="preserve">Medio</t>
  </si>
  <si>
    <t xml:space="preserve">Depende de 1.1</t>
  </si>
  <si>
    <t xml:space="preserve">1.3</t>
  </si>
  <si>
    <t xml:space="preserve">Revisión de diseño — Ronda 1 (Cliente / David Hoyos)</t>
  </si>
  <si>
    <t xml:space="preserve">Cliente, David Hoyos, Diseñador</t>
  </si>
  <si>
    <t xml:space="preserve">Bajo</t>
  </si>
  <si>
    <t xml:space="preserve">Depende de 1.2</t>
  </si>
  <si>
    <t xml:space="preserve">1.4</t>
  </si>
  <si>
    <t xml:space="preserve">Ajustes de diseño — Ronda 1</t>
  </si>
  <si>
    <t xml:space="preserve">Depende de 1.3</t>
  </si>
  <si>
    <t xml:space="preserve">1.5</t>
  </si>
  <si>
    <t xml:space="preserve">Revisión de diseño — Ronda 2 (Cliente)</t>
  </si>
  <si>
    <t xml:space="preserve">Depende de 1.4</t>
  </si>
  <si>
    <t xml:space="preserve">1.6</t>
  </si>
  <si>
    <t xml:space="preserve">Ajustes finales y aprobación de diseño</t>
  </si>
  <si>
    <t xml:space="preserve">Depende de 1.5</t>
  </si>
  <si>
    <t xml:space="preserve">1.7</t>
  </si>
  <si>
    <t xml:space="preserve">Setup técnico: repositorio, ambientes de prueba, estructura base (Flexible Content / Layout Builder)</t>
  </si>
  <si>
    <t xml:space="preserve">Max, Nata</t>
  </si>
  <si>
    <t xml:space="preserve">Paralelo a 1.2–1.6 (depende de accesos de Sistemas Racafé)</t>
  </si>
  <si>
    <t xml:space="preserve">1.8</t>
  </si>
  <si>
    <t xml:space="preserve">Consultoría externa: recomendaciones de arquitectura y seguridad</t>
  </si>
  <si>
    <t xml:space="preserve">Consultor Externo</t>
  </si>
  <si>
    <t xml:space="preserve">Paralelo a 1.2–1.6</t>
  </si>
  <si>
    <t xml:space="preserve">1.9</t>
  </si>
  <si>
    <t xml:space="preserve">Elaboración del entregable: paquete de diseño aprobado + base técnica lista</t>
  </si>
  <si>
    <t xml:space="preserve">Elan, Diseñador</t>
  </si>
  <si>
    <t xml:space="preserve">Depende de 1.6, 1.7 y 1.8</t>
  </si>
  <si>
    <t xml:space="preserve">H1</t>
  </si>
  <si>
    <t xml:space="preserve">HITO · Diseño aprobado y base técnica lista</t>
  </si>
  <si>
    <t xml:space="preserve">—</t>
  </si>
  <si>
    <t xml:space="preserve">Cierra cuando termina 1.9</t>
  </si>
  <si>
    <t xml:space="preserve">2.1.1</t>
  </si>
  <si>
    <t xml:space="preserve">Fase 2 — Desarrollo por bloques</t>
  </si>
  <si>
    <t xml:space="preserve">Sprint 1 — Desarrollo: Home (landing con los 3 temas + selector)</t>
  </si>
  <si>
    <t xml:space="preserve">Max, Elan</t>
  </si>
  <si>
    <t xml:space="preserve">Depende de H1</t>
  </si>
  <si>
    <t xml:space="preserve">2.1.2</t>
  </si>
  <si>
    <t xml:space="preserve">QA continua — Sprint 1</t>
  </si>
  <si>
    <t xml:space="preserve">Nata</t>
  </si>
  <si>
    <t xml:space="preserve">Paralelo a 2.1.1</t>
  </si>
  <si>
    <t xml:space="preserve">2.2.1</t>
  </si>
  <si>
    <t xml:space="preserve">Sprint 2 — Desarrollo: 3 secciones por tipo de cliente</t>
  </si>
  <si>
    <t xml:space="preserve">Depende de 2.1.1</t>
  </si>
  <si>
    <t xml:space="preserve">2.2.2</t>
  </si>
  <si>
    <t xml:space="preserve">QA continua — Sprint 2</t>
  </si>
  <si>
    <t xml:space="preserve">Paralelo a 2.2.1</t>
  </si>
  <si>
    <t xml:space="preserve">2.3.1</t>
  </si>
  <si>
    <t xml:space="preserve">Sprint 3 — Desarrollo: sección Contacto (formulario + integración CRM)</t>
  </si>
  <si>
    <t xml:space="preserve">Max</t>
  </si>
  <si>
    <t xml:space="preserve">Depende de 2.2.1 (riesgo: API del CRM propio de Racafé no confirmada)</t>
  </si>
  <si>
    <t xml:space="preserve">2.3.2</t>
  </si>
  <si>
    <t xml:space="preserve">QA continua — Sprint 3</t>
  </si>
  <si>
    <t xml:space="preserve">Paralelo a 2.3.1</t>
  </si>
  <si>
    <t xml:space="preserve">2.4.1</t>
  </si>
  <si>
    <t xml:space="preserve">Sprint 4 — Desarrollo: landing Crecer</t>
  </si>
  <si>
    <t xml:space="preserve">Depende de 2.3.1</t>
  </si>
  <si>
    <t xml:space="preserve">2.4.2</t>
  </si>
  <si>
    <t xml:space="preserve">QA continua — Sprint 4</t>
  </si>
  <si>
    <t xml:space="preserve">Paralelo a 2.4.1</t>
  </si>
  <si>
    <t xml:space="preserve">2.5</t>
  </si>
  <si>
    <t xml:space="preserve">Elaboración del entregable: sitio funcional en ambiente de pruebas</t>
  </si>
  <si>
    <t xml:space="preserve">Depende de 2.4.1 y 2.4.2</t>
  </si>
  <si>
    <t xml:space="preserve">H2</t>
  </si>
  <si>
    <t xml:space="preserve">HITO · Desarrollo funcional completo</t>
  </si>
  <si>
    <t xml:space="preserve">Cierra cuando termina 2.5</t>
  </si>
  <si>
    <t xml:space="preserve">3.1</t>
  </si>
  <si>
    <t xml:space="preserve">Fase 3 — Refinamiento</t>
  </si>
  <si>
    <t xml:space="preserve">Refinamiento visual e interacción (microinteracciones, ajustes post-QA)</t>
  </si>
  <si>
    <t xml:space="preserve">Elan, Max</t>
  </si>
  <si>
    <t xml:space="preserve">Depende de H2</t>
  </si>
  <si>
    <t xml:space="preserve">3.2</t>
  </si>
  <si>
    <t xml:space="preserve">Revisión bilingüe ES/EN</t>
  </si>
  <si>
    <t xml:space="preserve">Depende de 3.1</t>
  </si>
  <si>
    <t xml:space="preserve">3.3</t>
  </si>
  <si>
    <t xml:space="preserve">Verificación de tracking (UTM, GA4, Meta Pixel, Google Pixel)</t>
  </si>
  <si>
    <t xml:space="preserve">Paralelo a 3.2</t>
  </si>
  <si>
    <t xml:space="preserve">4.1</t>
  </si>
  <si>
    <t xml:space="preserve">Fase 4 — Cierre y despliegue</t>
  </si>
  <si>
    <t xml:space="preserve">Pruebas de aceptación integrales</t>
  </si>
  <si>
    <t xml:space="preserve">Nata, Cliente</t>
  </si>
  <si>
    <t xml:space="preserve">Depende de 3.2 y 3.3</t>
  </si>
  <si>
    <t xml:space="preserve">4.2</t>
  </si>
  <si>
    <t xml:space="preserve">Corrección de hallazgos</t>
  </si>
  <si>
    <t xml:space="preserve">Depende de 4.1</t>
  </si>
  <si>
    <t xml:space="preserve">4.3</t>
  </si>
  <si>
    <t xml:space="preserve">Validación final TI Racafé + aprobación cliente</t>
  </si>
  <si>
    <t xml:space="preserve">Sistemas Racafé, David Hoyos, Cliente</t>
  </si>
  <si>
    <t xml:space="preserve">Depende de 4.2 (fuera de control directo del equipo)</t>
  </si>
  <si>
    <t xml:space="preserve">4.4</t>
  </si>
  <si>
    <t xml:space="preserve">Despliegue a producción + capacitación</t>
  </si>
  <si>
    <t xml:space="preserve">Max, Elan, Sistemas Racafé</t>
  </si>
  <si>
    <t xml:space="preserve">Depende de 4.3</t>
  </si>
  <si>
    <t xml:space="preserve">4.5</t>
  </si>
  <si>
    <t xml:space="preserve">Elaboración del entregable: sitio en producción, entrega final al cliente</t>
  </si>
  <si>
    <t xml:space="preserve">Depende de 4.4</t>
  </si>
  <si>
    <t xml:space="preserve">H3</t>
  </si>
  <si>
    <t xml:space="preserve">HITO · Lanzamiento</t>
  </si>
  <si>
    <t xml:space="preserve">Cierra cuando termina 4.5</t>
  </si>
  <si>
    <t xml:space="preserve">★</t>
  </si>
  <si>
    <t xml:space="preserve">Todas las fases</t>
  </si>
  <si>
    <t xml:space="preserve">PROYECTO — Avance general</t>
  </si>
  <si>
    <t xml:space="preserve">Resumen de todo el proyecto: Fase 1 a Fase 4 (1.1 a H3)</t>
  </si>
  <si>
    <t xml:space="preserve">Columnas en amarillo (H, I) = ÚNICO campo de entrada manual: fecha real en que empezó/terminó cada tarea. Todo lo demás se calcula solo a partir de esas dos fechas: Estado (columna oculta), "% Avance" y "Alerta" se calculan con la fecha de hoy vs. las fechas plan (F, G) y las fechas reales (H, I). "Cumplimiento" (O) compara las fechas reales (H, I) contra el plan una vez que las registras. Las filas H1/H2/H3 son resúmenes de fase (de la primera a la última tarea de esa fase) y la fila ★ es el resumen de TODO el proyecto: sus barras se rellenan de gris a verde según el % de avance promedio de las tareas correspondientes. Barras de tareas normales (1 columna = 1 día hábil, sin fines de semana ni festivos): azul = en tiempo, verde = Completado, ámbar = por vencer, rojo = atrasada/no iniciada a tiempo; la columna dorada marca el día de hoy.</t>
  </si>
  <si>
    <t xml:space="preserve">Cálculos internos del Gantt (no editar) — fecha de corte de avance por fase, usada para pintar la barra resumen de cada hito</t>
  </si>
  <si>
    <t xml:space="preserve">Corte de avance — Fase 1 (H1)</t>
  </si>
  <si>
    <t xml:space="preserve">Corte de avance — Fase 2 (H2)</t>
  </si>
  <si>
    <t xml:space="preserve">Corte de avance — Fase 4 (H3)</t>
  </si>
  <si>
    <t xml:space="preserve">Corte de avance — PROYECTO (global)</t>
  </si>
  <si>
    <t xml:space="preserve">PANORAMA DEL PROYECTO</t>
  </si>
  <si>
    <t xml:space="preserve">Reconversión racafe.com.co</t>
  </si>
  <si>
    <t xml:space="preserve">FECHA DE INICIO</t>
  </si>
  <si>
    <t xml:space="preserve">LANZAMIENTO ESTIMADO (HITO 3)</t>
  </si>
  <si>
    <t xml:space="preserve">FECHA COMPROMISO (+ COLCHÓN)</t>
  </si>
  <si>
    <t xml:space="preserve">DÍAS HÁBILES TOTALES</t>
  </si>
  <si>
    <t xml:space="preserve">SEMANAS CALENDARIO</t>
  </si>
  <si>
    <t xml:space="preserve">FESTIVOS EN EL RANGO</t>
  </si>
  <si>
    <t xml:space="preserve">CUELLOS DE BOTELLA</t>
  </si>
  <si>
    <t xml:space="preserve">ALERTAS ACTIVAS HOY</t>
  </si>
  <si>
    <t xml:space="preserve">TAREAS COMPLETADAS</t>
  </si>
  <si>
    <t xml:space="preserve">"Cuellos de botella" y "Alertas activas" te dicen qué mirar primero. "Tareas completadas" cuenta sobre el total de bloques del cronograma (incluye los 3 hitos).</t>
  </si>
  <si>
    <t xml:space="preserve">DURACIÓN POR FASE</t>
  </si>
  <si>
    <t xml:space="preserve">Inicio (plan)</t>
  </si>
  <si>
    <t xml:space="preserve">Fin (plan)</t>
  </si>
  <si>
    <t xml:space="preserve">Días hábiles</t>
  </si>
  <si>
    <t xml:space="preserve">Las fechas y totales se recalculan solos al cambiar la fecha de inicio en Config. "% Avance" y "Alerta" en Cronograma usan la fecha de hoy y se actualizan cada vez que abres el archivo.</t>
  </si>
  <si>
    <t xml:space="preserve">PUNTOS DE ENTREGA Y RETROALIMENTACIÓN CON EL CLIENTE</t>
  </si>
  <si>
    <t xml:space="preserve">Hito / entrega</t>
  </si>
  <si>
    <t xml:space="preserve">Qué se entrega</t>
  </si>
  <si>
    <t xml:space="preserve">Fecha (recalculada)</t>
  </si>
  <si>
    <t xml:space="preserve">Participan</t>
  </si>
  <si>
    <t xml:space="preserve">Revisión de diseño — Ronda 1</t>
  </si>
  <si>
    <t xml:space="preserve">Propuesta visual completa en Figma (home + navegación) para validación</t>
  </si>
  <si>
    <t xml:space="preserve">Cliente, David Hoyos, Diseñador, Elan</t>
  </si>
  <si>
    <t xml:space="preserve">Revisión de diseño — Ronda 2</t>
  </si>
  <si>
    <t xml:space="preserve">Diseño ajustado tras la Ronda 1, para aprobación final</t>
  </si>
  <si>
    <t xml:space="preserve">Hito 1 — Diseño aprobado y base técnica lista</t>
  </si>
  <si>
    <t xml:space="preserve">Diseño final aprobado + repo/ambientes listos para empezar a construir</t>
  </si>
  <si>
    <t xml:space="preserve">Elan, Diseñador, Max, Sistemas Racafé</t>
  </si>
  <si>
    <t xml:space="preserve">Demo Sprint 1</t>
  </si>
  <si>
    <t xml:space="preserve">Home funcional (landing con los 3 temas + selector)</t>
  </si>
  <si>
    <t xml:space="preserve">Cliente, David Hoyos</t>
  </si>
  <si>
    <t xml:space="preserve">Demo Sprint 2</t>
  </si>
  <si>
    <t xml:space="preserve">3 secciones por tipo de cliente, funcionales</t>
  </si>
  <si>
    <t xml:space="preserve">Demo Sprint 3</t>
  </si>
  <si>
    <t xml:space="preserve">Sección Contacto con formulario conectado al CRM</t>
  </si>
  <si>
    <t xml:space="preserve">Cliente, David Hoyos, Sistemas Racafé</t>
  </si>
  <si>
    <t xml:space="preserve">Demo Sprint 4</t>
  </si>
  <si>
    <t xml:space="preserve">Landing Crecer funcional</t>
  </si>
  <si>
    <t xml:space="preserve">Hito 2 — Desarrollo funcional completo</t>
  </si>
  <si>
    <t xml:space="preserve">Sitio completo navegable en ambiente de pruebas</t>
  </si>
  <si>
    <t xml:space="preserve">Elan, Max, Nata</t>
  </si>
  <si>
    <t xml:space="preserve">Sesión de pruebas de aceptación (UAT)</t>
  </si>
  <si>
    <t xml:space="preserve">Checklist de aceptación transversal: formularios→CRM, bilingüe, tracking, responsive</t>
  </si>
  <si>
    <t xml:space="preserve">Validación final y aprobación</t>
  </si>
  <si>
    <t xml:space="preserve">Aprobación de TI Racafé y del cliente antes de salir a producción</t>
  </si>
  <si>
    <t xml:space="preserve">Hito 3 — Lanzamiento</t>
  </si>
  <si>
    <t xml:space="preserve">Sitio en producción + capacitación al equipo de Racafé</t>
  </si>
  <si>
    <t xml:space="preserve">Todo el equipo</t>
  </si>
  <si>
    <t xml:space="preserve">EQUIPO DEL PROYECTO</t>
  </si>
  <si>
    <t xml:space="preserve">Rol</t>
  </si>
  <si>
    <t xml:space="preserve">Persona / Área</t>
  </si>
  <si>
    <t xml:space="preserve">Responsabilidad principal</t>
  </si>
  <si>
    <t xml:space="preserve">Cliente</t>
  </si>
  <si>
    <t xml:space="preserve">Interesados de Racafé</t>
  </si>
  <si>
    <t xml:space="preserve">Avala y aprueba los avances del proyecto en cada punto de entrega</t>
  </si>
  <si>
    <t xml:space="preserve">Jefe de depura-creatividad</t>
  </si>
  <si>
    <t xml:space="preserve">David Hoyos</t>
  </si>
  <si>
    <t xml:space="preserve">Representa a la agencia frente al cliente; responde por el avance del proyecto</t>
  </si>
  <si>
    <t xml:space="preserve">Líder de proyecto</t>
  </si>
  <si>
    <t xml:space="preserve">Elan</t>
  </si>
  <si>
    <t xml:space="preserve">Ingeniero de sistemas; lleva las riendas del proyecto, asigna tareas y prioridades, diseño</t>
  </si>
  <si>
    <t xml:space="preserve">Diseñador</t>
  </si>
  <si>
    <t xml:space="preserve">Por definir</t>
  </si>
  <si>
    <t xml:space="preserve">Diseño UX/UI en Figma: propuesta visual, sistema de navegación y ajustes tras cada ronda de retroalimentación del cliente</t>
  </si>
  <si>
    <t xml:space="preserve">Desarrollo</t>
  </si>
  <si>
    <t xml:space="preserve">Desarrollo, servidores y despliegue</t>
  </si>
  <si>
    <t xml:space="preserve">QA</t>
  </si>
  <si>
    <t xml:space="preserve">Validación continua por bloque: formularios→CRM, bilingüe ES/EN, responsive, tracking, checklist de pre-calificación</t>
  </si>
  <si>
    <t xml:space="preserve">Sistemas Racafé</t>
  </si>
  <si>
    <t xml:space="preserve">Equipo de TI de Racafé</t>
  </si>
  <si>
    <t xml:space="preserve">Configuración de servidor, migración, backups y restauraciones; validación final de seguridad</t>
  </si>
  <si>
    <t xml:space="preserve">Recomendaciones de arquitectura, estructuras y seguridad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</si>
</sst>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dd/mm"/>
    <numFmt numFmtId="167" formatCode="0%"/>
    <numFmt numFmtId="168" formatCode="0"/>
    <numFmt numFmtId="169" formatCode="0.0"/>
    <numFmt numFmtId="170" formatCode="@"/>
    <numFmt numFmtId="171" formatCode="General"/>
  </numFmts>
  <fonts count="4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4D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3B4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B4D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B8862E"/>
      <name val="Arial"/>
      <family val="0"/>
      <charset val="1"/>
    </font>
    <font>
      <b val="true"/>
      <sz val="10"/>
      <color rgb="FF6A3D8F"/>
      <name val="Arial"/>
      <family val="0"/>
      <charset val="1"/>
    </font>
    <font>
      <i val="true"/>
      <sz val="8"/>
      <color rgb="FF6B6B6B"/>
      <name val="Arial"/>
      <family val="0"/>
      <charset val="1"/>
    </font>
    <font>
      <sz val="8"/>
      <color rgb="FF6B6B6B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B8862E"/>
      <name val="Arial"/>
      <family val="0"/>
      <charset val="1"/>
    </font>
    <font>
      <b val="true"/>
      <sz val="9"/>
      <color rgb="FF6B6B6B"/>
      <name val="Arial"/>
      <family val="0"/>
      <charset val="1"/>
    </font>
    <font>
      <b val="true"/>
      <sz val="20"/>
      <color rgb="FF2E6DA4"/>
      <name val="Arial"/>
      <family val="0"/>
      <charset val="1"/>
    </font>
    <font>
      <b val="true"/>
      <sz val="20"/>
      <color rgb="FF6A3D8F"/>
      <name val="Arial"/>
      <family val="0"/>
      <charset val="1"/>
    </font>
    <font>
      <b val="true"/>
      <sz val="20"/>
      <color rgb="FFB8862E"/>
      <name val="Arial"/>
      <family val="0"/>
      <charset val="1"/>
    </font>
    <font>
      <b val="true"/>
      <sz val="16"/>
      <color rgb="FF1F3B4D"/>
      <name val="Arial"/>
      <family val="0"/>
      <charset val="1"/>
    </font>
    <font>
      <b val="true"/>
      <sz val="16"/>
      <color rgb="FFB23A2F"/>
      <name val="Arial"/>
      <family val="0"/>
      <charset val="1"/>
    </font>
    <font>
      <b val="true"/>
      <sz val="16"/>
      <color rgb="FFC98B0A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3"/>
      <color rgb="FF1F3B4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6CC"/>
        <bgColor rgb="FFFFF6E2"/>
      </patternFill>
    </fill>
    <fill>
      <patternFill patternType="solid">
        <fgColor rgb="FF1F3B4D"/>
        <bgColor rgb="FF003366"/>
      </patternFill>
    </fill>
    <fill>
      <patternFill patternType="solid">
        <fgColor rgb="FF2E6DA4"/>
        <bgColor rgb="FF0B5394"/>
      </patternFill>
    </fill>
    <fill>
      <patternFill patternType="solid">
        <fgColor rgb="FF0B5394"/>
        <bgColor rgb="FF2E6DA4"/>
      </patternFill>
    </fill>
    <fill>
      <patternFill patternType="solid">
        <fgColor rgb="FFE8F1FB"/>
        <bgColor rgb="FFEAF6EC"/>
      </patternFill>
    </fill>
    <fill>
      <patternFill patternType="solid">
        <fgColor rgb="FFEAF6EC"/>
        <bgColor rgb="FFE8F1FB"/>
      </patternFill>
    </fill>
    <fill>
      <patternFill patternType="solid">
        <fgColor rgb="FFFFF6E2"/>
        <bgColor rgb="FFF7F3EC"/>
      </patternFill>
    </fill>
    <fill>
      <patternFill patternType="solid">
        <fgColor rgb="FFF1EAF7"/>
        <bgColor rgb="FFE8F1FB"/>
      </patternFill>
    </fill>
    <fill>
      <patternFill patternType="solid">
        <fgColor rgb="FFB8862E"/>
        <bgColor rgb="FFC98B0A"/>
      </patternFill>
    </fill>
    <fill>
      <patternFill patternType="solid">
        <fgColor rgb="FFF7F3EC"/>
        <bgColor rgb="FFFFF6E2"/>
      </patternFill>
    </fill>
    <fill>
      <patternFill patternType="solid">
        <fgColor rgb="FFF5F8FB"/>
        <bgColor rgb="FFF7F3EC"/>
      </patternFill>
    </fill>
    <fill>
      <patternFill patternType="solid">
        <fgColor rgb="FFFFFFFF"/>
        <bgColor rgb="FFF5F8FB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hair">
        <color rgb="FFE4E4E4"/>
      </left>
      <right style="hair">
        <color rgb="FFE4E4E4"/>
      </right>
      <top/>
      <bottom/>
      <diagonal/>
    </border>
    <border diagonalUp="false" diagonalDown="false">
      <left style="medium">
        <color rgb="FF2E6DA4"/>
      </left>
      <right style="medium">
        <color rgb="FF2E6DA4"/>
      </right>
      <top style="medium">
        <color rgb="FF2E6DA4"/>
      </top>
      <bottom/>
      <diagonal/>
    </border>
    <border diagonalUp="false" diagonalDown="false">
      <left style="medium">
        <color rgb="FF6A3D8F"/>
      </left>
      <right style="medium">
        <color rgb="FF6A3D8F"/>
      </right>
      <top style="medium">
        <color rgb="FF6A3D8F"/>
      </top>
      <bottom/>
      <diagonal/>
    </border>
    <border diagonalUp="false" diagonalDown="false">
      <left style="medium">
        <color rgb="FFB8862E"/>
      </left>
      <right style="medium">
        <color rgb="FFB8862E"/>
      </right>
      <top style="medium">
        <color rgb="FFB8862E"/>
      </top>
      <bottom/>
      <diagonal/>
    </border>
    <border diagonalUp="false" diagonalDown="false">
      <left style="medium">
        <color rgb="FF2E6DA4"/>
      </left>
      <right style="medium">
        <color rgb="FF2E6DA4"/>
      </right>
      <top/>
      <bottom style="medium">
        <color rgb="FF2E6DA4"/>
      </bottom>
      <diagonal/>
    </border>
    <border diagonalUp="false" diagonalDown="false">
      <left style="medium">
        <color rgb="FF6A3D8F"/>
      </left>
      <right style="medium">
        <color rgb="FF6A3D8F"/>
      </right>
      <top/>
      <bottom style="medium">
        <color rgb="FF6A3D8F"/>
      </bottom>
      <diagonal/>
    </border>
    <border diagonalUp="false" diagonalDown="false">
      <left style="medium">
        <color rgb="FFB8862E"/>
      </left>
      <right style="medium">
        <color rgb="FFB8862E"/>
      </right>
      <top/>
      <bottom style="medium">
        <color rgb="FFB8862E"/>
      </bottom>
      <diagonal/>
    </border>
    <border diagonalUp="false" diagonalDown="false">
      <left style="medium">
        <color rgb="FF1F3B4D"/>
      </left>
      <right style="medium">
        <color rgb="FF1F3B4D"/>
      </right>
      <top style="medium">
        <color rgb="FF1F3B4D"/>
      </top>
      <bottom/>
      <diagonal/>
    </border>
    <border diagonalUp="false" diagonalDown="false">
      <left style="medium">
        <color rgb="FF1F3B4D"/>
      </left>
      <right style="medium">
        <color rgb="FF1F3B4D"/>
      </right>
      <top/>
      <bottom style="medium">
        <color rgb="FF1F3B4D"/>
      </bottom>
      <diagonal/>
    </border>
    <border diagonalUp="false" diagonalDown="false">
      <left style="medium">
        <color rgb="FFB23A2F"/>
      </left>
      <right style="medium">
        <color rgb="FFB23A2F"/>
      </right>
      <top style="medium">
        <color rgb="FFB23A2F"/>
      </top>
      <bottom/>
      <diagonal/>
    </border>
    <border diagonalUp="false" diagonalDown="false">
      <left style="medium">
        <color rgb="FFC98B0A"/>
      </left>
      <right style="medium">
        <color rgb="FFC98B0A"/>
      </right>
      <top style="medium">
        <color rgb="FFC98B0A"/>
      </top>
      <bottom/>
      <diagonal/>
    </border>
    <border diagonalUp="false" diagonalDown="false">
      <left style="medium">
        <color rgb="FF2E7D32"/>
      </left>
      <right style="medium">
        <color rgb="FF2E7D32"/>
      </right>
      <top style="medium">
        <color rgb="FF2E7D32"/>
      </top>
      <bottom/>
      <diagonal/>
    </border>
    <border diagonalUp="false" diagonalDown="false">
      <left style="medium">
        <color rgb="FFB23A2F"/>
      </left>
      <right style="medium">
        <color rgb="FFB23A2F"/>
      </right>
      <top/>
      <bottom style="medium">
        <color rgb="FFB23A2F"/>
      </bottom>
      <diagonal/>
    </border>
    <border diagonalUp="false" diagonalDown="false">
      <left style="medium">
        <color rgb="FFC98B0A"/>
      </left>
      <right style="medium">
        <color rgb="FFC98B0A"/>
      </right>
      <top/>
      <bottom style="medium">
        <color rgb="FFC98B0A"/>
      </bottom>
      <diagonal/>
    </border>
    <border diagonalUp="false" diagonalDown="false">
      <left style="medium">
        <color rgb="FF2E7D32"/>
      </left>
      <right style="medium">
        <color rgb="FF2E7D32"/>
      </right>
      <top/>
      <bottom style="medium">
        <color rgb="FF2E7D3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6" fontId="18" fillId="4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6" fontId="18" fillId="5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4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2" fillId="11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3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11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5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5" fillId="11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1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1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1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6" fillId="11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7" fillId="11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8" fillId="11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ill>
        <patternFill patternType="solid">
          <fgColor rgb="FF1F3B4D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EAF6EC"/>
          <bgColor rgb="FF000000"/>
        </patternFill>
      </fill>
    </dxf>
    <dxf>
      <fill>
        <patternFill patternType="solid">
          <fgColor rgb="FFF1EAF7"/>
          <bgColor rgb="FF000000"/>
        </patternFill>
      </fill>
    </dxf>
    <dxf>
      <fill>
        <patternFill patternType="solid">
          <fgColor rgb="FFFFF6E2"/>
          <bgColor rgb="FF000000"/>
        </patternFill>
      </fill>
    </dxf>
    <dxf>
      <fill>
        <patternFill patternType="solid">
          <fgColor rgb="FF2E6DA4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3D8F"/>
          <bgColor rgb="FF000000"/>
        </patternFill>
      </fill>
    </dxf>
    <dxf>
      <fill>
        <patternFill patternType="solid">
          <fgColor rgb="FFB886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9E5CB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6B4"/>
          <bgColor rgb="FF000000"/>
        </patternFill>
      </fill>
    </dxf>
    <dxf>
      <fill>
        <patternFill patternType="solid">
          <fgColor rgb="FFB23A2F"/>
          <bgColor rgb="FF000000"/>
        </patternFill>
      </fill>
    </dxf>
    <dxf>
      <fill>
        <patternFill patternType="solid">
          <fgColor rgb="FFC98B0A"/>
          <bgColor rgb="FF000000"/>
        </patternFill>
      </fill>
    </dxf>
    <dxf>
      <fill>
        <patternFill patternType="solid">
          <fgColor rgb="FFBFD9F2"/>
          <bgColor rgb="FF000000"/>
        </patternFill>
      </fill>
    </dxf>
    <dxf>
      <fill>
        <patternFill patternType="solid">
          <fgColor rgb="FFE4E4E4"/>
          <bgColor rgb="FF000000"/>
        </patternFill>
      </fill>
    </dxf>
    <dxf>
      <fill>
        <patternFill patternType="solid">
          <bgColor rgb="FF000000"/>
        </patternFill>
      </fill>
    </dxf>
    <dxf>
      <font>
        <b val="1"/>
        <color rgb="FFB23A2F"/>
      </font>
      <fill>
        <patternFill>
          <bgColor rgb="FFF4C7C3"/>
        </patternFill>
      </fill>
    </dxf>
    <dxf>
      <font>
        <b val="1"/>
        <color rgb="FFC98B0A"/>
      </font>
      <fill>
        <patternFill>
          <bgColor rgb="FFFCE6B4"/>
        </patternFill>
      </fill>
    </dxf>
    <dxf>
      <font>
        <b val="1"/>
        <color rgb="FF2E7D32"/>
      </font>
      <fill>
        <patternFill>
          <bgColor rgb="FFC9E5CB"/>
        </patternFill>
      </fill>
    </dxf>
    <dxf>
      <fill>
        <patternFill>
          <bgColor rgb="FFE4E4E4"/>
        </patternFill>
      </fill>
    </dxf>
    <dxf>
      <fill>
        <patternFill>
          <bgColor rgb="FFBFD9F2"/>
        </patternFill>
      </fill>
    </dxf>
    <dxf>
      <fill>
        <patternFill>
          <bgColor rgb="FFC9E5CB"/>
        </patternFill>
      </fill>
    </dxf>
    <dxf>
      <fill>
        <patternFill>
          <bgColor rgb="FFF4C7C3"/>
        </patternFill>
      </fill>
    </dxf>
    <dxf>
      <fill>
        <patternFill>
          <bgColor rgb="FF2E7D32"/>
        </patternFill>
      </fill>
    </dxf>
    <dxf>
      <fill>
        <patternFill>
          <bgColor rgb="FFB23A2F"/>
        </patternFill>
      </fill>
    </dxf>
    <dxf>
      <fill>
        <patternFill>
          <bgColor rgb="FFC98B0A"/>
        </patternFill>
      </fill>
    </dxf>
    <dxf>
      <fill>
        <patternFill>
          <bgColor rgb="FF2E6DA4"/>
        </patternFill>
      </fill>
    </dxf>
    <dxf>
      <fill>
        <patternFill>
          <bgColor rgb="FFD5D9DC"/>
        </patternFill>
      </fill>
    </dxf>
    <dxf>
      <font>
        <name val="Arial"/>
        <charset val="1"/>
        <family val="0"/>
        <b val="1"/>
        <color rgb="FF1F3B4D"/>
        <sz val="7"/>
      </font>
      <fill>
        <patternFill>
          <bgColor rgb="FFB8862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6E2"/>
      <rgbColor rgb="FFFF00FF"/>
      <rgbColor rgb="FF00FFFF"/>
      <rgbColor rgb="FF800000"/>
      <rgbColor rgb="FF008000"/>
      <rgbColor rgb="FF000080"/>
      <rgbColor rgb="FFB8862E"/>
      <rgbColor rgb="FF800080"/>
      <rgbColor rgb="FF008080"/>
      <rgbColor rgb="FFCCCCCC"/>
      <rgbColor rgb="FF808080"/>
      <rgbColor rgb="FFF1EAF7"/>
      <rgbColor rgb="FF6A3D8F"/>
      <rgbColor rgb="FFFFF6CC"/>
      <rgbColor rgb="FFE8F1FB"/>
      <rgbColor rgb="FF660066"/>
      <rgbColor rgb="FFFF8080"/>
      <rgbColor rgb="FF0B5394"/>
      <rgbColor rgb="FFBFD9F2"/>
      <rgbColor rgb="FF000080"/>
      <rgbColor rgb="FFFF00FF"/>
      <rgbColor rgb="FFF7F3EC"/>
      <rgbColor rgb="FF00FFFF"/>
      <rgbColor rgb="FF800080"/>
      <rgbColor rgb="FF800000"/>
      <rgbColor rgb="FF008080"/>
      <rgbColor rgb="FF0000FF"/>
      <rgbColor rgb="FF00CCFF"/>
      <rgbColor rgb="FFEAF6EC"/>
      <rgbColor rgb="FFC9E5CB"/>
      <rgbColor rgb="FFFCE6B4"/>
      <rgbColor rgb="FFD5D9DC"/>
      <rgbColor rgb="FFE4E4E4"/>
      <rgbColor rgb="FFDDDDDD"/>
      <rgbColor rgb="FFF4C7C3"/>
      <rgbColor rgb="FF2E6DA4"/>
      <rgbColor rgb="FF33CCCC"/>
      <rgbColor rgb="FF99CC00"/>
      <rgbColor rgb="FFF5F8FB"/>
      <rgbColor rgb="FFC98B0A"/>
      <rgbColor rgb="FFFF6600"/>
      <rgbColor rgb="FF6B6B6B"/>
      <rgbColor rgb="FF9AA5AD"/>
      <rgbColor rgb="FF003366"/>
      <rgbColor rgb="FF2E7D32"/>
      <rgbColor rgb="FF003300"/>
      <rgbColor rgb="FF333300"/>
      <rgbColor rgb="FFB23A2F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D"/>
    <pageSetUpPr fitToPage="false"/>
  </sheetPr>
  <dimension ref="A1:D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62"/>
    <col collapsed="false" customWidth="true" hidden="false" outlineLevel="0" max="4" min="4" style="1" width="10"/>
    <col collapsed="false" customWidth="true" hidden="false" outlineLevel="0" max="26" min="5" style="1" width="8.71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4" t="n">
        <v>46261</v>
      </c>
      <c r="C3" s="5" t="s">
        <v>2</v>
      </c>
    </row>
    <row r="4" customFormat="false" ht="15" hidden="false" customHeight="true" outlineLevel="0" collapsed="false">
      <c r="A4" s="3" t="s">
        <v>3</v>
      </c>
      <c r="B4" s="6" t="s">
        <v>4</v>
      </c>
    </row>
    <row r="5" customFormat="false" ht="15" hidden="false" customHeight="true" outlineLevel="0" collapsed="false">
      <c r="A5" s="3" t="s">
        <v>5</v>
      </c>
      <c r="B5" s="7" t="n">
        <v>10</v>
      </c>
      <c r="C5" s="5" t="s">
        <v>6</v>
      </c>
    </row>
    <row r="7" customFormat="false" ht="15" hidden="false" customHeight="true" outlineLevel="0" collapsed="false">
      <c r="A7" s="8" t="s">
        <v>7</v>
      </c>
      <c r="B7" s="9" t="s">
        <v>8</v>
      </c>
      <c r="C7" s="9"/>
      <c r="D7" s="9"/>
    </row>
    <row r="8" customFormat="false" ht="15" hidden="false" customHeight="true" outlineLevel="0" collapsed="false">
      <c r="A8" s="10"/>
      <c r="B8" s="10"/>
    </row>
    <row r="9" customFormat="false" ht="15" hidden="false" customHeight="true" outlineLevel="0" collapsed="false">
      <c r="A9" s="11"/>
      <c r="B9" s="6"/>
    </row>
    <row r="10" customFormat="false" ht="15" hidden="false" customHeight="true" outlineLevel="0" collapsed="false">
      <c r="A10" s="11"/>
      <c r="B10" s="6"/>
    </row>
    <row r="11" customFormat="false" ht="15" hidden="false" customHeight="true" outlineLevel="0" collapsed="false">
      <c r="A11" s="11"/>
      <c r="B11" s="6"/>
    </row>
    <row r="12" customFormat="false" ht="15" hidden="false" customHeight="true" outlineLevel="0" collapsed="false">
      <c r="A12" s="11"/>
      <c r="B12" s="6"/>
    </row>
    <row r="13" customFormat="false" ht="15" hidden="false" customHeight="true" outlineLevel="0" collapsed="false">
      <c r="A13" s="11"/>
      <c r="B13" s="6"/>
    </row>
    <row r="15" customFormat="false" ht="15" hidden="false" customHeight="true" outlineLevel="0" collapsed="false">
      <c r="A15" s="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D1"/>
    <mergeCell ref="B7:D7"/>
  </mergeCells>
  <dataValidations count="1">
    <dataValidation allowBlank="true" errorStyle="stop" operator="greaterThanOrEqual" prompt="Fecha inválida - Ingresa una fecha válida (usa el calendario que aparece al hacer clic en la celda)." showDropDown="false" showErrorMessage="true" showInputMessage="true" sqref="B3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</cols>
  <sheetData>
    <row r="1" customFormat="false" ht="15" hidden="false" customHeight="false" outlineLevel="0" collapsed="false">
      <c r="A1" s="12" t="s">
        <v>9</v>
      </c>
    </row>
    <row r="2" customFormat="false" ht="15" hidden="false" customHeight="false" outlineLevel="0" collapsed="false">
      <c r="A2" s="13" t="s">
        <v>10</v>
      </c>
      <c r="B2" s="13" t="s">
        <v>11</v>
      </c>
    </row>
    <row r="3" customFormat="false" ht="15" hidden="false" customHeight="false" outlineLevel="0" collapsed="false">
      <c r="A3" s="14" t="n">
        <v>46023</v>
      </c>
      <c r="B3" s="15" t="s">
        <v>12</v>
      </c>
    </row>
    <row r="4" customFormat="false" ht="15" hidden="false" customHeight="false" outlineLevel="0" collapsed="false">
      <c r="A4" s="14" t="n">
        <v>46034</v>
      </c>
      <c r="B4" s="15" t="s">
        <v>13</v>
      </c>
    </row>
    <row r="5" customFormat="false" ht="15" hidden="false" customHeight="false" outlineLevel="0" collapsed="false">
      <c r="A5" s="14" t="n">
        <v>46104</v>
      </c>
      <c r="B5" s="15" t="s">
        <v>14</v>
      </c>
    </row>
    <row r="6" customFormat="false" ht="15" hidden="false" customHeight="false" outlineLevel="0" collapsed="false">
      <c r="A6" s="14" t="n">
        <v>46114</v>
      </c>
      <c r="B6" s="15" t="s">
        <v>15</v>
      </c>
    </row>
    <row r="7" customFormat="false" ht="15" hidden="false" customHeight="false" outlineLevel="0" collapsed="false">
      <c r="A7" s="14" t="n">
        <v>46115</v>
      </c>
      <c r="B7" s="15" t="s">
        <v>16</v>
      </c>
    </row>
    <row r="8" customFormat="false" ht="15" hidden="false" customHeight="false" outlineLevel="0" collapsed="false">
      <c r="A8" s="14" t="n">
        <v>46143</v>
      </c>
      <c r="B8" s="15" t="s">
        <v>17</v>
      </c>
    </row>
    <row r="9" customFormat="false" ht="15" hidden="false" customHeight="false" outlineLevel="0" collapsed="false">
      <c r="A9" s="14" t="n">
        <v>46160</v>
      </c>
      <c r="B9" s="15" t="s">
        <v>18</v>
      </c>
    </row>
    <row r="10" customFormat="false" ht="15" hidden="false" customHeight="false" outlineLevel="0" collapsed="false">
      <c r="A10" s="14" t="n">
        <v>46181</v>
      </c>
      <c r="B10" s="15" t="s">
        <v>19</v>
      </c>
    </row>
    <row r="11" customFormat="false" ht="15" hidden="false" customHeight="false" outlineLevel="0" collapsed="false">
      <c r="A11" s="14" t="n">
        <v>46188</v>
      </c>
      <c r="B11" s="15" t="s">
        <v>20</v>
      </c>
    </row>
    <row r="12" customFormat="false" ht="15" hidden="false" customHeight="false" outlineLevel="0" collapsed="false">
      <c r="A12" s="14" t="n">
        <v>46202</v>
      </c>
      <c r="B12" s="15" t="s">
        <v>21</v>
      </c>
    </row>
    <row r="13" customFormat="false" ht="15" hidden="false" customHeight="false" outlineLevel="0" collapsed="false">
      <c r="A13" s="14" t="n">
        <v>46216</v>
      </c>
      <c r="B13" s="15" t="s">
        <v>22</v>
      </c>
    </row>
    <row r="14" customFormat="false" ht="15" hidden="false" customHeight="false" outlineLevel="0" collapsed="false">
      <c r="A14" s="14" t="n">
        <v>46223</v>
      </c>
      <c r="B14" s="15" t="s">
        <v>23</v>
      </c>
    </row>
    <row r="15" customFormat="false" ht="15" hidden="false" customHeight="false" outlineLevel="0" collapsed="false">
      <c r="A15" s="14" t="n">
        <v>46241</v>
      </c>
      <c r="B15" s="15" t="s">
        <v>24</v>
      </c>
    </row>
    <row r="16" customFormat="false" ht="15" hidden="false" customHeight="false" outlineLevel="0" collapsed="false">
      <c r="A16" s="14" t="n">
        <v>46251</v>
      </c>
      <c r="B16" s="15" t="s">
        <v>25</v>
      </c>
    </row>
    <row r="17" customFormat="false" ht="15" hidden="false" customHeight="false" outlineLevel="0" collapsed="false">
      <c r="A17" s="14" t="n">
        <v>46307</v>
      </c>
      <c r="B17" s="15" t="s">
        <v>26</v>
      </c>
    </row>
    <row r="18" customFormat="false" ht="15" hidden="false" customHeight="false" outlineLevel="0" collapsed="false">
      <c r="A18" s="14" t="n">
        <v>46328</v>
      </c>
      <c r="B18" s="15" t="s">
        <v>27</v>
      </c>
    </row>
    <row r="19" customFormat="false" ht="15" hidden="false" customHeight="false" outlineLevel="0" collapsed="false">
      <c r="A19" s="14" t="n">
        <v>46342</v>
      </c>
      <c r="B19" s="15" t="s">
        <v>28</v>
      </c>
    </row>
    <row r="20" customFormat="false" ht="15" hidden="false" customHeight="false" outlineLevel="0" collapsed="false">
      <c r="A20" s="14" t="n">
        <v>46364</v>
      </c>
      <c r="B20" s="15" t="s">
        <v>29</v>
      </c>
    </row>
    <row r="21" customFormat="false" ht="15" hidden="false" customHeight="false" outlineLevel="0" collapsed="false">
      <c r="A21" s="14" t="n">
        <v>46381</v>
      </c>
      <c r="B21" s="15" t="s">
        <v>30</v>
      </c>
    </row>
    <row r="23" customFormat="false" ht="15" hidden="false" customHeight="false" outlineLevel="0" collapsed="false">
      <c r="A23" s="1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4D"/>
    <pageSetUpPr fitToPage="false"/>
  </sheetPr>
  <dimension ref="A1:CS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9" min="6" style="1" width="13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true" outlineLevel="0" max="12" min="12" style="1" width="13.86"/>
    <col collapsed="false" customWidth="true" hidden="false" outlineLevel="0" max="13" min="13" style="1" width="12"/>
    <col collapsed="false" customWidth="true" hidden="false" outlineLevel="0" max="14" min="14" style="1" width="24"/>
    <col collapsed="false" customWidth="true" hidden="false" outlineLevel="0" max="15" min="15" style="1" width="20"/>
    <col collapsed="false" customWidth="true" hidden="false" outlineLevel="0" max="16" min="16" style="1" width="19.57"/>
    <col collapsed="false" customWidth="true" hidden="false" outlineLevel="0" max="17" min="17" style="1" width="44"/>
    <col collapsed="false" customWidth="true" hidden="false" outlineLevel="0" max="97" min="18" style="1" width="3.43"/>
  </cols>
  <sheetData>
    <row r="1" customFormat="false" ht="39.75" hidden="false" customHeight="true" outlineLevel="0" collapsed="false">
      <c r="A1" s="17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 t="s">
        <v>33</v>
      </c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</row>
    <row r="2" customFormat="false" ht="60" hidden="false" customHeight="tru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 t="s">
        <v>34</v>
      </c>
      <c r="S2" s="20"/>
      <c r="T2" s="20"/>
      <c r="U2" s="21" t="s">
        <v>35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 t="s">
        <v>36</v>
      </c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3" t="s">
        <v>37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2" t="s">
        <v>38</v>
      </c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</row>
    <row r="3" customFormat="false" ht="60" hidden="false" customHeight="true" outlineLevel="0" collapsed="false">
      <c r="A3" s="24" t="s">
        <v>39</v>
      </c>
      <c r="B3" s="24" t="s">
        <v>40</v>
      </c>
      <c r="C3" s="24" t="s">
        <v>41</v>
      </c>
      <c r="D3" s="24" t="s">
        <v>42</v>
      </c>
      <c r="E3" s="24" t="s">
        <v>43</v>
      </c>
      <c r="F3" s="24" t="s">
        <v>44</v>
      </c>
      <c r="G3" s="24" t="s">
        <v>45</v>
      </c>
      <c r="H3" s="24" t="s">
        <v>46</v>
      </c>
      <c r="I3" s="24" t="s">
        <v>47</v>
      </c>
      <c r="J3" s="24" t="s">
        <v>48</v>
      </c>
      <c r="K3" s="24" t="s">
        <v>49</v>
      </c>
      <c r="L3" s="24" t="s">
        <v>50</v>
      </c>
      <c r="M3" s="24" t="s">
        <v>51</v>
      </c>
      <c r="N3" s="24" t="s">
        <v>52</v>
      </c>
      <c r="O3" s="24" t="s">
        <v>53</v>
      </c>
      <c r="P3" s="24" t="s">
        <v>54</v>
      </c>
      <c r="Q3" s="24" t="s">
        <v>55</v>
      </c>
      <c r="R3" s="25" t="n">
        <f aca="false">WORKDAY(Config!$B$3,0,Festivos!$A$3:$A$21)</f>
        <v>46261</v>
      </c>
      <c r="S3" s="25" t="n">
        <f aca="false">WORKDAY(Config!$B$3,1,Festivos!$A$3:$A$21)</f>
        <v>46262</v>
      </c>
      <c r="T3" s="25" t="n">
        <f aca="false">WORKDAY(Config!$B$3,2,Festivos!$A$3:$A$21)</f>
        <v>46265</v>
      </c>
      <c r="U3" s="26" t="n">
        <f aca="false">WORKDAY(Config!$B$3,3,Festivos!$A$3:$A$21)</f>
        <v>46266</v>
      </c>
      <c r="V3" s="26" t="n">
        <f aca="false">WORKDAY(Config!$B$3,4,Festivos!$A$3:$A$21)</f>
        <v>46267</v>
      </c>
      <c r="W3" s="26" t="n">
        <f aca="false">WORKDAY(Config!$B$3,5,Festivos!$A$3:$A$21)</f>
        <v>46268</v>
      </c>
      <c r="X3" s="26" t="n">
        <f aca="false">WORKDAY(Config!$B$3,6,Festivos!$A$3:$A$21)</f>
        <v>46269</v>
      </c>
      <c r="Y3" s="26" t="n">
        <f aca="false">WORKDAY(Config!$B$3,7,Festivos!$A$3:$A$21)</f>
        <v>46272</v>
      </c>
      <c r="Z3" s="26" t="n">
        <f aca="false">WORKDAY(Config!$B$3,8,Festivos!$A$3:$A$21)</f>
        <v>46273</v>
      </c>
      <c r="AA3" s="26" t="n">
        <f aca="false">WORKDAY(Config!$B$3,9,Festivos!$A$3:$A$21)</f>
        <v>46274</v>
      </c>
      <c r="AB3" s="26" t="n">
        <f aca="false">WORKDAY(Config!$B$3,10,Festivos!$A$3:$A$21)</f>
        <v>46275</v>
      </c>
      <c r="AC3" s="26" t="n">
        <f aca="false">WORKDAY(Config!$B$3,11,Festivos!$A$3:$A$21)</f>
        <v>46276</v>
      </c>
      <c r="AD3" s="26" t="n">
        <f aca="false">WORKDAY(Config!$B$3,12,Festivos!$A$3:$A$21)</f>
        <v>46279</v>
      </c>
      <c r="AE3" s="26" t="n">
        <f aca="false">WORKDAY(Config!$B$3,13,Festivos!$A$3:$A$21)</f>
        <v>46280</v>
      </c>
      <c r="AF3" s="26" t="n">
        <f aca="false">WORKDAY(Config!$B$3,14,Festivos!$A$3:$A$21)</f>
        <v>46281</v>
      </c>
      <c r="AG3" s="26" t="n">
        <f aca="false">WORKDAY(Config!$B$3,15,Festivos!$A$3:$A$21)</f>
        <v>46282</v>
      </c>
      <c r="AH3" s="26" t="n">
        <f aca="false">WORKDAY(Config!$B$3,16,Festivos!$A$3:$A$21)</f>
        <v>46283</v>
      </c>
      <c r="AI3" s="26" t="n">
        <f aca="false">WORKDAY(Config!$B$3,17,Festivos!$A$3:$A$21)</f>
        <v>46286</v>
      </c>
      <c r="AJ3" s="26" t="n">
        <f aca="false">WORKDAY(Config!$B$3,18,Festivos!$A$3:$A$21)</f>
        <v>46287</v>
      </c>
      <c r="AK3" s="26" t="n">
        <f aca="false">WORKDAY(Config!$B$3,19,Festivos!$A$3:$A$21)</f>
        <v>46288</v>
      </c>
      <c r="AL3" s="26" t="n">
        <f aca="false">WORKDAY(Config!$B$3,20,Festivos!$A$3:$A$21)</f>
        <v>46289</v>
      </c>
      <c r="AM3" s="26" t="n">
        <f aca="false">WORKDAY(Config!$B$3,21,Festivos!$A$3:$A$21)</f>
        <v>46290</v>
      </c>
      <c r="AN3" s="26" t="n">
        <f aca="false">WORKDAY(Config!$B$3,22,Festivos!$A$3:$A$21)</f>
        <v>46293</v>
      </c>
      <c r="AO3" s="26" t="n">
        <f aca="false">WORKDAY(Config!$B$3,23,Festivos!$A$3:$A$21)</f>
        <v>46294</v>
      </c>
      <c r="AP3" s="26" t="n">
        <f aca="false">WORKDAY(Config!$B$3,24,Festivos!$A$3:$A$21)</f>
        <v>46295</v>
      </c>
      <c r="AQ3" s="25" t="n">
        <f aca="false">WORKDAY(Config!$B$3,25,Festivos!$A$3:$A$21)</f>
        <v>46296</v>
      </c>
      <c r="AR3" s="25" t="n">
        <f aca="false">WORKDAY(Config!$B$3,26,Festivos!$A$3:$A$21)</f>
        <v>46297</v>
      </c>
      <c r="AS3" s="25" t="n">
        <f aca="false">WORKDAY(Config!$B$3,27,Festivos!$A$3:$A$21)</f>
        <v>46300</v>
      </c>
      <c r="AT3" s="25" t="n">
        <f aca="false">WORKDAY(Config!$B$3,28,Festivos!$A$3:$A$21)</f>
        <v>46301</v>
      </c>
      <c r="AU3" s="25" t="n">
        <f aca="false">WORKDAY(Config!$B$3,29,Festivos!$A$3:$A$21)</f>
        <v>46302</v>
      </c>
      <c r="AV3" s="25" t="n">
        <f aca="false">WORKDAY(Config!$B$3,30,Festivos!$A$3:$A$21)</f>
        <v>46303</v>
      </c>
      <c r="AW3" s="25" t="n">
        <f aca="false">WORKDAY(Config!$B$3,31,Festivos!$A$3:$A$21)</f>
        <v>46304</v>
      </c>
      <c r="AX3" s="25" t="n">
        <f aca="false">WORKDAY(Config!$B$3,32,Festivos!$A$3:$A$21)</f>
        <v>46308</v>
      </c>
      <c r="AY3" s="25" t="n">
        <f aca="false">WORKDAY(Config!$B$3,33,Festivos!$A$3:$A$21)</f>
        <v>46309</v>
      </c>
      <c r="AZ3" s="25" t="n">
        <f aca="false">WORKDAY(Config!$B$3,34,Festivos!$A$3:$A$21)</f>
        <v>46310</v>
      </c>
      <c r="BA3" s="25" t="n">
        <f aca="false">WORKDAY(Config!$B$3,35,Festivos!$A$3:$A$21)</f>
        <v>46311</v>
      </c>
      <c r="BB3" s="25" t="n">
        <f aca="false">WORKDAY(Config!$B$3,36,Festivos!$A$3:$A$21)</f>
        <v>46314</v>
      </c>
      <c r="BC3" s="25" t="n">
        <f aca="false">WORKDAY(Config!$B$3,37,Festivos!$A$3:$A$21)</f>
        <v>46315</v>
      </c>
      <c r="BD3" s="25" t="n">
        <f aca="false">WORKDAY(Config!$B$3,38,Festivos!$A$3:$A$21)</f>
        <v>46316</v>
      </c>
      <c r="BE3" s="25" t="n">
        <f aca="false">WORKDAY(Config!$B$3,39,Festivos!$A$3:$A$21)</f>
        <v>46317</v>
      </c>
      <c r="BF3" s="25" t="n">
        <f aca="false">WORKDAY(Config!$B$3,40,Festivos!$A$3:$A$21)</f>
        <v>46318</v>
      </c>
      <c r="BG3" s="25" t="n">
        <f aca="false">WORKDAY(Config!$B$3,41,Festivos!$A$3:$A$21)</f>
        <v>46321</v>
      </c>
      <c r="BH3" s="25" t="n">
        <f aca="false">WORKDAY(Config!$B$3,42,Festivos!$A$3:$A$21)</f>
        <v>46322</v>
      </c>
      <c r="BI3" s="25" t="n">
        <f aca="false">WORKDAY(Config!$B$3,43,Festivos!$A$3:$A$21)</f>
        <v>46323</v>
      </c>
      <c r="BJ3" s="25" t="n">
        <f aca="false">WORKDAY(Config!$B$3,44,Festivos!$A$3:$A$21)</f>
        <v>46324</v>
      </c>
      <c r="BK3" s="25" t="n">
        <f aca="false">WORKDAY(Config!$B$3,45,Festivos!$A$3:$A$21)</f>
        <v>46325</v>
      </c>
      <c r="BL3" s="25" t="n">
        <f aca="false">WORKDAY(Config!$B$3,46,Festivos!$A$3:$A$21)</f>
        <v>46329</v>
      </c>
      <c r="BM3" s="25" t="n">
        <f aca="false">WORKDAY(Config!$B$3,47,Festivos!$A$3:$A$21)</f>
        <v>46330</v>
      </c>
      <c r="BN3" s="25" t="n">
        <f aca="false">WORKDAY(Config!$B$3,48,Festivos!$A$3:$A$21)</f>
        <v>46331</v>
      </c>
      <c r="BO3" s="25" t="n">
        <f aca="false">WORKDAY(Config!$B$3,49,Festivos!$A$3:$A$21)</f>
        <v>46332</v>
      </c>
      <c r="BP3" s="25" t="n">
        <f aca="false">WORKDAY(Config!$B$3,50,Festivos!$A$3:$A$21)</f>
        <v>46335</v>
      </c>
      <c r="BQ3" s="25" t="n">
        <f aca="false">WORKDAY(Config!$B$3,51,Festivos!$A$3:$A$21)</f>
        <v>46336</v>
      </c>
      <c r="BR3" s="25" t="n">
        <f aca="false">WORKDAY(Config!$B$3,52,Festivos!$A$3:$A$21)</f>
        <v>46337</v>
      </c>
      <c r="BS3" s="25" t="n">
        <f aca="false">WORKDAY(Config!$B$3,53,Festivos!$A$3:$A$21)</f>
        <v>46338</v>
      </c>
      <c r="BT3" s="25" t="n">
        <f aca="false">WORKDAY(Config!$B$3,54,Festivos!$A$3:$A$21)</f>
        <v>46339</v>
      </c>
      <c r="BU3" s="25" t="n">
        <f aca="false">WORKDAY(Config!$B$3,55,Festivos!$A$3:$A$21)</f>
        <v>46343</v>
      </c>
      <c r="BV3" s="25" t="n">
        <f aca="false">WORKDAY(Config!$B$3,56,Festivos!$A$3:$A$21)</f>
        <v>46344</v>
      </c>
      <c r="BW3" s="25" t="n">
        <f aca="false">WORKDAY(Config!$B$3,57,Festivos!$A$3:$A$21)</f>
        <v>46345</v>
      </c>
      <c r="BX3" s="25" t="n">
        <f aca="false">WORKDAY(Config!$B$3,58,Festivos!$A$3:$A$21)</f>
        <v>46346</v>
      </c>
      <c r="BY3" s="25" t="n">
        <f aca="false">WORKDAY(Config!$B$3,59,Festivos!$A$3:$A$21)</f>
        <v>46349</v>
      </c>
      <c r="BZ3" s="25" t="n">
        <f aca="false">WORKDAY(Config!$B$3,60,Festivos!$A$3:$A$21)</f>
        <v>46350</v>
      </c>
      <c r="CA3" s="25" t="n">
        <f aca="false">WORKDAY(Config!$B$3,61,Festivos!$A$3:$A$21)</f>
        <v>46351</v>
      </c>
      <c r="CB3" s="25" t="n">
        <f aca="false">WORKDAY(Config!$B$3,62,Festivos!$A$3:$A$21)</f>
        <v>46352</v>
      </c>
      <c r="CC3" s="25" t="n">
        <f aca="false">WORKDAY(Config!$B$3,63,Festivos!$A$3:$A$21)</f>
        <v>46353</v>
      </c>
      <c r="CD3" s="25" t="n">
        <f aca="false">WORKDAY(Config!$B$3,64,Festivos!$A$3:$A$21)</f>
        <v>46356</v>
      </c>
      <c r="CE3" s="25" t="n">
        <f aca="false">WORKDAY(Config!$B$3,65,Festivos!$A$3:$A$21)</f>
        <v>46357</v>
      </c>
      <c r="CF3" s="25" t="n">
        <f aca="false">WORKDAY(Config!$B$3,66,Festivos!$A$3:$A$21)</f>
        <v>46358</v>
      </c>
      <c r="CG3" s="25" t="n">
        <f aca="false">WORKDAY(Config!$B$3,67,Festivos!$A$3:$A$21)</f>
        <v>46359</v>
      </c>
      <c r="CH3" s="25" t="n">
        <f aca="false">WORKDAY(Config!$B$3,68,Festivos!$A$3:$A$21)</f>
        <v>46360</v>
      </c>
      <c r="CI3" s="25" t="n">
        <f aca="false">WORKDAY(Config!$B$3,69,Festivos!$A$3:$A$21)</f>
        <v>46363</v>
      </c>
      <c r="CJ3" s="25" t="n">
        <f aca="false">WORKDAY(Config!$B$3,70,Festivos!$A$3:$A$21)</f>
        <v>46365</v>
      </c>
      <c r="CK3" s="25" t="n">
        <f aca="false">WORKDAY(Config!$B$3,71,Festivos!$A$3:$A$21)</f>
        <v>46366</v>
      </c>
      <c r="CL3" s="25" t="n">
        <f aca="false">WORKDAY(Config!$B$3,72,Festivos!$A$3:$A$21)</f>
        <v>46367</v>
      </c>
      <c r="CM3" s="25" t="n">
        <f aca="false">WORKDAY(Config!$B$3,73,Festivos!$A$3:$A$21)</f>
        <v>46370</v>
      </c>
      <c r="CN3" s="25" t="n">
        <f aca="false">WORKDAY(Config!$B$3,74,Festivos!$A$3:$A$21)</f>
        <v>46371</v>
      </c>
      <c r="CO3" s="25" t="n">
        <f aca="false">WORKDAY(Config!$B$3,75,Festivos!$A$3:$A$21)</f>
        <v>46372</v>
      </c>
      <c r="CP3" s="25" t="n">
        <f aca="false">WORKDAY(Config!$B$3,76,Festivos!$A$3:$A$21)</f>
        <v>46373</v>
      </c>
      <c r="CQ3" s="25" t="n">
        <f aca="false">WORKDAY(Config!$B$3,77,Festivos!$A$3:$A$21)</f>
        <v>46374</v>
      </c>
      <c r="CR3" s="25" t="n">
        <f aca="false">WORKDAY(Config!$B$3,78,Festivos!$A$3:$A$21)</f>
        <v>46377</v>
      </c>
      <c r="CS3" s="25" t="n">
        <f aca="false">WORKDAY(Config!$B$3,79,Festivos!$A$3:$A$21)</f>
        <v>46378</v>
      </c>
    </row>
    <row r="4" customFormat="false" ht="25.5" hidden="false" customHeight="true" outlineLevel="0" collapsed="false">
      <c r="A4" s="27" t="s">
        <v>56</v>
      </c>
      <c r="B4" s="28" t="s">
        <v>57</v>
      </c>
      <c r="C4" s="29" t="s">
        <v>58</v>
      </c>
      <c r="D4" s="30" t="s">
        <v>59</v>
      </c>
      <c r="E4" s="28" t="n">
        <v>3</v>
      </c>
      <c r="F4" s="31" t="n">
        <f aca="false">Config!$B$3</f>
        <v>46261</v>
      </c>
      <c r="G4" s="31" t="n">
        <f aca="false">WORKDAY(F4,E4-1,Festivos!$A$3:$A$21)</f>
        <v>46265</v>
      </c>
      <c r="H4" s="32" t="n">
        <v>46261</v>
      </c>
      <c r="I4" s="32" t="n">
        <v>46261</v>
      </c>
      <c r="J4" s="28" t="n">
        <v>0</v>
      </c>
      <c r="K4" s="33" t="s">
        <v>60</v>
      </c>
      <c r="L4" s="33" t="str">
        <f aca="false">IF(I4&lt;&gt;"","Completado",IF(H4&lt;&gt;"","En curso","Pendiente"))</f>
        <v>Completado</v>
      </c>
      <c r="M4" s="34" t="n">
        <f aca="true">IF(L4="Completado",1,IF(L4="Pendiente",0,IF(F4=G4,IF(TODAY()&gt;=G4,1,0),MIN(MAX((TODAY()-F4)/(G4-F4),0),0.95))))</f>
        <v>1</v>
      </c>
      <c r="N4" s="35" t="str">
        <f aca="true">IF(L4="Completado","",IF(AND(L4="Pendiente",TODAY()&gt;F4),"🔴 No iniciada (debía empezar "&amp;TEXT(F4,"DD/MM")&amp;")",IF(TODAY()&gt;G4,"🔴 Fuera de tiempo (debía entregarse "&amp;TEXT(G4,"DD/MM")&amp;")",IF(TODAY()&gt;=WORKDAY(G4,-2,Festivos!$A$3:$A$21),"🟡 Por vencer",""))))</f>
        <v/>
      </c>
      <c r="O4" s="35" t="str">
        <f aca="false">IF(I4&lt;&gt;"",IF(I4&lt;=G4,IF(I4=G4,"✅ A tiempo","✅ Adelantado "&amp;(NETWORKDAYS(I4,G4,Festivos!$A$3:$A$21)-1)&amp;"d"),"🔴 Retrasado "&amp;(NETWORKDAYS(G4,I4,Festivos!$A$3:$A$21)-1)&amp;"d"),IF(H4&lt;&gt;"","🟡 En desarrollo","⚪ Sin iniciar"))</f>
        <v>✅ Adelantado 2d</v>
      </c>
      <c r="P4" s="33" t="str">
        <f aca="false">IF(AND(J4=0,K4="Alto"),"⚠ Cuello de botella","")</f>
        <v>⚠ Cuello de botella</v>
      </c>
      <c r="Q4" s="35" t="s">
        <v>61</v>
      </c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</row>
    <row r="5" customFormat="false" ht="25.5" hidden="false" customHeight="true" outlineLevel="0" collapsed="false">
      <c r="A5" s="27" t="s">
        <v>62</v>
      </c>
      <c r="B5" s="28" t="s">
        <v>57</v>
      </c>
      <c r="C5" s="29" t="s">
        <v>63</v>
      </c>
      <c r="D5" s="30" t="s">
        <v>64</v>
      </c>
      <c r="E5" s="28" t="n">
        <v>5</v>
      </c>
      <c r="F5" s="31" t="n">
        <f aca="false">WORKDAY(G4,1,Festivos!$A$3:$A$21)</f>
        <v>46266</v>
      </c>
      <c r="G5" s="31" t="n">
        <f aca="false">WORKDAY(F5,E5-1,Festivos!$A$3:$A$21)</f>
        <v>46272</v>
      </c>
      <c r="H5" s="32" t="n">
        <v>46262</v>
      </c>
      <c r="I5" s="32"/>
      <c r="J5" s="28" t="n">
        <v>0</v>
      </c>
      <c r="K5" s="33" t="s">
        <v>65</v>
      </c>
      <c r="L5" s="33" t="str">
        <f aca="false">IF(I5&lt;&gt;"","Completado",IF(H5&lt;&gt;"","En curso","Pendiente"))</f>
        <v>En curso</v>
      </c>
      <c r="M5" s="34" t="n">
        <f aca="true">IF(L5="Completado",1,IF(L5="Pendiente",0,IF(F5=G5,IF(TODAY()&gt;=G5,1,0),MIN(MAX((TODAY()-F5)/(G5-F5),0),0.95))))</f>
        <v>0</v>
      </c>
      <c r="N5" s="35" t="str">
        <f aca="true">IF(L5="Completado","",IF(AND(L5="Pendiente",TODAY()&gt;F5),"🔴 No iniciada (debía empezar "&amp;TEXT(F5,"DD/MM")&amp;")",IF(TODAY()&gt;G5,"🔴 Fuera de tiempo (debía entregarse "&amp;TEXT(G5,"DD/MM")&amp;")",IF(TODAY()&gt;=WORKDAY(G5,-2,Festivos!$A$3:$A$21),"🟡 Por vencer",""))))</f>
        <v/>
      </c>
      <c r="O5" s="35" t="str">
        <f aca="false">IF(I5&lt;&gt;"",IF(I5&lt;=G5,IF(I5=G5,"✅ A tiempo","✅ Adelantado "&amp;(NETWORKDAYS(I5,G5,Festivos!$A$3:$A$21)-1)&amp;"d"),"🔴 Retrasado "&amp;(NETWORKDAYS(G5,I5,Festivos!$A$3:$A$21)-1)&amp;"d"),IF(H5&lt;&gt;"","🟡 En desarrollo","⚪ Sin iniciar"))</f>
        <v>🟡 En desarrollo</v>
      </c>
      <c r="P5" s="33" t="str">
        <f aca="false">IF(AND(J5=0,K5="Alto"),"⚠ Cuello de botella","")</f>
        <v/>
      </c>
      <c r="Q5" s="35" t="s">
        <v>66</v>
      </c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</row>
    <row r="6" customFormat="false" ht="25.5" hidden="false" customHeight="true" outlineLevel="0" collapsed="false">
      <c r="A6" s="27" t="s">
        <v>67</v>
      </c>
      <c r="B6" s="28" t="s">
        <v>57</v>
      </c>
      <c r="C6" s="29" t="s">
        <v>68</v>
      </c>
      <c r="D6" s="30" t="s">
        <v>69</v>
      </c>
      <c r="E6" s="28" t="n">
        <v>1</v>
      </c>
      <c r="F6" s="31" t="n">
        <f aca="false">WORKDAY(G5,1,Festivos!$A$3:$A$21)</f>
        <v>46273</v>
      </c>
      <c r="G6" s="31" t="n">
        <f aca="false">WORKDAY(F6,E6-1,Festivos!$A$3:$A$21)</f>
        <v>46273</v>
      </c>
      <c r="H6" s="32"/>
      <c r="I6" s="32"/>
      <c r="J6" s="28" t="n">
        <v>0</v>
      </c>
      <c r="K6" s="33" t="s">
        <v>70</v>
      </c>
      <c r="L6" s="33" t="str">
        <f aca="false">IF(I6&lt;&gt;"","Completado",IF(H6&lt;&gt;"","En curso","Pendiente"))</f>
        <v>Pendiente</v>
      </c>
      <c r="M6" s="34" t="n">
        <f aca="true">IF(L6="Completado",1,IF(L6="Pendiente",0,IF(F6=G6,IF(TODAY()&gt;=G6,1,0),MIN(MAX((TODAY()-F6)/(G6-F6),0),0.95))))</f>
        <v>0</v>
      </c>
      <c r="N6" s="35" t="str">
        <f aca="true">IF(L6="Completado","",IF(AND(L6="Pendiente",TODAY()&gt;F6),"🔴 No iniciada (debía empezar "&amp;TEXT(F6,"DD/MM")&amp;")",IF(TODAY()&gt;G6,"🔴 Fuera de tiempo (debía entregarse "&amp;TEXT(G6,"DD/MM")&amp;")",IF(TODAY()&gt;=WORKDAY(G6,-2,Festivos!$A$3:$A$21),"🟡 Por vencer",""))))</f>
        <v/>
      </c>
      <c r="O6" s="35" t="str">
        <f aca="false">IF(I6&lt;&gt;"",IF(I6&lt;=G6,IF(I6=G6,"✅ A tiempo","✅ Adelantado "&amp;(NETWORKDAYS(I6,G6,Festivos!$A$3:$A$21)-1)&amp;"d"),"🔴 Retrasado "&amp;(NETWORKDAYS(G6,I6,Festivos!$A$3:$A$21)-1)&amp;"d"),IF(H6&lt;&gt;"","🟡 En desarrollo","⚪ Sin iniciar"))</f>
        <v>⚪ Sin iniciar</v>
      </c>
      <c r="P6" s="33" t="str">
        <f aca="false">IF(AND(J6=0,K6="Alto"),"⚠ Cuello de botella","")</f>
        <v/>
      </c>
      <c r="Q6" s="35" t="s">
        <v>71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</row>
    <row r="7" customFormat="false" ht="25.5" hidden="false" customHeight="true" outlineLevel="0" collapsed="false">
      <c r="A7" s="27" t="s">
        <v>72</v>
      </c>
      <c r="B7" s="28" t="s">
        <v>57</v>
      </c>
      <c r="C7" s="29" t="s">
        <v>73</v>
      </c>
      <c r="D7" s="30" t="s">
        <v>64</v>
      </c>
      <c r="E7" s="28" t="n">
        <v>2</v>
      </c>
      <c r="F7" s="31" t="n">
        <f aca="false">WORKDAY(G6,1,Festivos!$A$3:$A$21)</f>
        <v>46274</v>
      </c>
      <c r="G7" s="31" t="n">
        <f aca="false">WORKDAY(F7,E7-1,Festivos!$A$3:$A$21)</f>
        <v>46275</v>
      </c>
      <c r="H7" s="32"/>
      <c r="I7" s="32"/>
      <c r="J7" s="28" t="n">
        <v>0</v>
      </c>
      <c r="K7" s="33" t="s">
        <v>65</v>
      </c>
      <c r="L7" s="33" t="str">
        <f aca="false">IF(I7&lt;&gt;"","Completado",IF(H7&lt;&gt;"","En curso","Pendiente"))</f>
        <v>Pendiente</v>
      </c>
      <c r="M7" s="34" t="n">
        <f aca="true">IF(L7="Completado",1,IF(L7="Pendiente",0,IF(F7=G7,IF(TODAY()&gt;=G7,1,0),MIN(MAX((TODAY()-F7)/(G7-F7),0),0.95))))</f>
        <v>0</v>
      </c>
      <c r="N7" s="35" t="str">
        <f aca="true">IF(L7="Completado","",IF(AND(L7="Pendiente",TODAY()&gt;F7),"🔴 No iniciada (debía empezar "&amp;TEXT(F7,"DD/MM")&amp;")",IF(TODAY()&gt;G7,"🔴 Fuera de tiempo (debía entregarse "&amp;TEXT(G7,"DD/MM")&amp;")",IF(TODAY()&gt;=WORKDAY(G7,-2,Festivos!$A$3:$A$21),"🟡 Por vencer",""))))</f>
        <v/>
      </c>
      <c r="O7" s="35" t="str">
        <f aca="false">IF(I7&lt;&gt;"",IF(I7&lt;=G7,IF(I7=G7,"✅ A tiempo","✅ Adelantado "&amp;(NETWORKDAYS(I7,G7,Festivos!$A$3:$A$21)-1)&amp;"d"),"🔴 Retrasado "&amp;(NETWORKDAYS(G7,I7,Festivos!$A$3:$A$21)-1)&amp;"d"),IF(H7&lt;&gt;"","🟡 En desarrollo","⚪ Sin iniciar"))</f>
        <v>⚪ Sin iniciar</v>
      </c>
      <c r="P7" s="33" t="str">
        <f aca="false">IF(AND(J7=0,K7="Alto"),"⚠ Cuello de botella","")</f>
        <v/>
      </c>
      <c r="Q7" s="35" t="s">
        <v>74</v>
      </c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</row>
    <row r="8" customFormat="false" ht="25.5" hidden="false" customHeight="true" outlineLevel="0" collapsed="false">
      <c r="A8" s="27" t="s">
        <v>75</v>
      </c>
      <c r="B8" s="28" t="s">
        <v>57</v>
      </c>
      <c r="C8" s="29" t="s">
        <v>76</v>
      </c>
      <c r="D8" s="30" t="s">
        <v>69</v>
      </c>
      <c r="E8" s="28" t="n">
        <v>1</v>
      </c>
      <c r="F8" s="31" t="n">
        <f aca="false">WORKDAY(G7,1,Festivos!$A$3:$A$21)</f>
        <v>46276</v>
      </c>
      <c r="G8" s="31" t="n">
        <f aca="false">WORKDAY(F8,E8-1,Festivos!$A$3:$A$21)</f>
        <v>46276</v>
      </c>
      <c r="H8" s="32"/>
      <c r="I8" s="32"/>
      <c r="J8" s="28" t="n">
        <v>0</v>
      </c>
      <c r="K8" s="33" t="s">
        <v>70</v>
      </c>
      <c r="L8" s="33" t="str">
        <f aca="false">IF(I8&lt;&gt;"","Completado",IF(H8&lt;&gt;"","En curso","Pendiente"))</f>
        <v>Pendiente</v>
      </c>
      <c r="M8" s="34" t="n">
        <f aca="true">IF(L8="Completado",1,IF(L8="Pendiente",0,IF(F8=G8,IF(TODAY()&gt;=G8,1,0),MIN(MAX((TODAY()-F8)/(G8-F8),0),0.95))))</f>
        <v>0</v>
      </c>
      <c r="N8" s="35" t="str">
        <f aca="true">IF(L8="Completado","",IF(AND(L8="Pendiente",TODAY()&gt;F8),"🔴 No iniciada (debía empezar "&amp;TEXT(F8,"DD/MM")&amp;")",IF(TODAY()&gt;G8,"🔴 Fuera de tiempo (debía entregarse "&amp;TEXT(G8,"DD/MM")&amp;")",IF(TODAY()&gt;=WORKDAY(G8,-2,Festivos!$A$3:$A$21),"🟡 Por vencer",""))))</f>
        <v/>
      </c>
      <c r="O8" s="35" t="str">
        <f aca="false">IF(I8&lt;&gt;"",IF(I8&lt;=G8,IF(I8=G8,"✅ A tiempo","✅ Adelantado "&amp;(NETWORKDAYS(I8,G8,Festivos!$A$3:$A$21)-1)&amp;"d"),"🔴 Retrasado "&amp;(NETWORKDAYS(G8,I8,Festivos!$A$3:$A$21)-1)&amp;"d"),IF(H8&lt;&gt;"","🟡 En desarrollo","⚪ Sin iniciar"))</f>
        <v>⚪ Sin iniciar</v>
      </c>
      <c r="P8" s="33" t="str">
        <f aca="false">IF(AND(J8=0,K8="Alto"),"⚠ Cuello de botella","")</f>
        <v/>
      </c>
      <c r="Q8" s="35" t="s">
        <v>77</v>
      </c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</row>
    <row r="9" customFormat="false" ht="25.5" hidden="false" customHeight="true" outlineLevel="0" collapsed="false">
      <c r="A9" s="27" t="s">
        <v>78</v>
      </c>
      <c r="B9" s="28" t="s">
        <v>57</v>
      </c>
      <c r="C9" s="29" t="s">
        <v>79</v>
      </c>
      <c r="D9" s="30" t="s">
        <v>64</v>
      </c>
      <c r="E9" s="28" t="n">
        <v>1</v>
      </c>
      <c r="F9" s="31" t="n">
        <f aca="false">WORKDAY(G8,1,Festivos!$A$3:$A$21)</f>
        <v>46279</v>
      </c>
      <c r="G9" s="31" t="n">
        <f aca="false">WORKDAY(F9,E9-1,Festivos!$A$3:$A$21)</f>
        <v>46279</v>
      </c>
      <c r="H9" s="32"/>
      <c r="I9" s="32"/>
      <c r="J9" s="28" t="n">
        <v>0</v>
      </c>
      <c r="K9" s="33" t="s">
        <v>70</v>
      </c>
      <c r="L9" s="33" t="str">
        <f aca="false">IF(I9&lt;&gt;"","Completado",IF(H9&lt;&gt;"","En curso","Pendiente"))</f>
        <v>Pendiente</v>
      </c>
      <c r="M9" s="34" t="n">
        <f aca="true">IF(L9="Completado",1,IF(L9="Pendiente",0,IF(F9=G9,IF(TODAY()&gt;=G9,1,0),MIN(MAX((TODAY()-F9)/(G9-F9),0),0.95))))</f>
        <v>0</v>
      </c>
      <c r="N9" s="35" t="str">
        <f aca="true">IF(L9="Completado","",IF(AND(L9="Pendiente",TODAY()&gt;F9),"🔴 No iniciada (debía empezar "&amp;TEXT(F9,"DD/MM")&amp;")",IF(TODAY()&gt;G9,"🔴 Fuera de tiempo (debía entregarse "&amp;TEXT(G9,"DD/MM")&amp;")",IF(TODAY()&gt;=WORKDAY(G9,-2,Festivos!$A$3:$A$21),"🟡 Por vencer",""))))</f>
        <v/>
      </c>
      <c r="O9" s="35" t="str">
        <f aca="false">IF(I9&lt;&gt;"",IF(I9&lt;=G9,IF(I9=G9,"✅ A tiempo","✅ Adelantado "&amp;(NETWORKDAYS(I9,G9,Festivos!$A$3:$A$21)-1)&amp;"d"),"🔴 Retrasado "&amp;(NETWORKDAYS(G9,I9,Festivos!$A$3:$A$21)-1)&amp;"d"),IF(H9&lt;&gt;"","🟡 En desarrollo","⚪ Sin iniciar"))</f>
        <v>⚪ Sin iniciar</v>
      </c>
      <c r="P9" s="33" t="str">
        <f aca="false">IF(AND(J9=0,K9="Alto"),"⚠ Cuello de botella","")</f>
        <v/>
      </c>
      <c r="Q9" s="35" t="s">
        <v>80</v>
      </c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</row>
    <row r="10" customFormat="false" ht="25.5" hidden="false" customHeight="true" outlineLevel="0" collapsed="false">
      <c r="A10" s="27" t="s">
        <v>81</v>
      </c>
      <c r="B10" s="28" t="s">
        <v>57</v>
      </c>
      <c r="C10" s="29" t="s">
        <v>82</v>
      </c>
      <c r="D10" s="30" t="s">
        <v>83</v>
      </c>
      <c r="E10" s="28" t="n">
        <v>8</v>
      </c>
      <c r="F10" s="31" t="n">
        <f aca="false">F5</f>
        <v>46266</v>
      </c>
      <c r="G10" s="31" t="n">
        <f aca="false">WORKDAY(F10,E10-1,Festivos!$A$3:$A$21)</f>
        <v>46275</v>
      </c>
      <c r="H10" s="32"/>
      <c r="I10" s="32"/>
      <c r="J10" s="28" t="n">
        <f aca="false">NETWORKDAYS(G10,G9,Festivos!$A$3:$A$21)-1</f>
        <v>2</v>
      </c>
      <c r="K10" s="33" t="s">
        <v>60</v>
      </c>
      <c r="L10" s="33" t="str">
        <f aca="false">IF(I10&lt;&gt;"","Completado",IF(H10&lt;&gt;"","En curso","Pendiente"))</f>
        <v>Pendiente</v>
      </c>
      <c r="M10" s="34" t="n">
        <f aca="true">IF(L10="Completado",1,IF(L10="Pendiente",0,IF(F10=G10,IF(TODAY()&gt;=G10,1,0),MIN(MAX((TODAY()-F10)/(G10-F10),0),0.95))))</f>
        <v>0</v>
      </c>
      <c r="N10" s="35" t="str">
        <f aca="true">IF(L10="Completado","",IF(AND(L10="Pendiente",TODAY()&gt;F10),"🔴 No iniciada (debía empezar "&amp;TEXT(F10,"DD/MM")&amp;")",IF(TODAY()&gt;G10,"🔴 Fuera de tiempo (debía entregarse "&amp;TEXT(G10,"DD/MM")&amp;")",IF(TODAY()&gt;=WORKDAY(G10,-2,Festivos!$A$3:$A$21),"🟡 Por vencer",""))))</f>
        <v/>
      </c>
      <c r="O10" s="35" t="str">
        <f aca="false">IF(I10&lt;&gt;"",IF(I10&lt;=G10,IF(I10=G10,"✅ A tiempo","✅ Adelantado "&amp;(NETWORKDAYS(I10,G10,Festivos!$A$3:$A$21)-1)&amp;"d"),"🔴 Retrasado "&amp;(NETWORKDAYS(G10,I10,Festivos!$A$3:$A$21)-1)&amp;"d"),IF(H10&lt;&gt;"","🟡 En desarrollo","⚪ Sin iniciar"))</f>
        <v>⚪ Sin iniciar</v>
      </c>
      <c r="P10" s="33" t="str">
        <f aca="false">IF(AND(J10=0,K10="Alto"),"⚠ Cuello de botella","")</f>
        <v/>
      </c>
      <c r="Q10" s="35" t="s">
        <v>84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</row>
    <row r="11" customFormat="false" ht="25.5" hidden="false" customHeight="true" outlineLevel="0" collapsed="false">
      <c r="A11" s="27" t="s">
        <v>85</v>
      </c>
      <c r="B11" s="28" t="s">
        <v>57</v>
      </c>
      <c r="C11" s="29" t="s">
        <v>86</v>
      </c>
      <c r="D11" s="30" t="s">
        <v>87</v>
      </c>
      <c r="E11" s="28" t="n">
        <v>3</v>
      </c>
      <c r="F11" s="31" t="n">
        <f aca="false">F5</f>
        <v>46266</v>
      </c>
      <c r="G11" s="31" t="n">
        <f aca="false">WORKDAY(F11,E11-1,Festivos!$A$3:$A$21)</f>
        <v>46268</v>
      </c>
      <c r="H11" s="32"/>
      <c r="I11" s="32"/>
      <c r="J11" s="28" t="n">
        <f aca="false">NETWORKDAYS(G11,G9,Festivos!$A$3:$A$21)-1</f>
        <v>7</v>
      </c>
      <c r="K11" s="33" t="s">
        <v>65</v>
      </c>
      <c r="L11" s="33" t="str">
        <f aca="false">IF(I11&lt;&gt;"","Completado",IF(H11&lt;&gt;"","En curso","Pendiente"))</f>
        <v>Pendiente</v>
      </c>
      <c r="M11" s="34" t="n">
        <f aca="true">IF(L11="Completado",1,IF(L11="Pendiente",0,IF(F11=G11,IF(TODAY()&gt;=G11,1,0),MIN(MAX((TODAY()-F11)/(G11-F11),0),0.95))))</f>
        <v>0</v>
      </c>
      <c r="N11" s="35" t="str">
        <f aca="true">IF(L11="Completado","",IF(AND(L11="Pendiente",TODAY()&gt;F11),"🔴 No iniciada (debía empezar "&amp;TEXT(F11,"DD/MM")&amp;")",IF(TODAY()&gt;G11,"🔴 Fuera de tiempo (debía entregarse "&amp;TEXT(G11,"DD/MM")&amp;")",IF(TODAY()&gt;=WORKDAY(G11,-2,Festivos!$A$3:$A$21),"🟡 Por vencer",""))))</f>
        <v/>
      </c>
      <c r="O11" s="35" t="str">
        <f aca="false">IF(I11&lt;&gt;"",IF(I11&lt;=G11,IF(I11=G11,"✅ A tiempo","✅ Adelantado "&amp;(NETWORKDAYS(I11,G11,Festivos!$A$3:$A$21)-1)&amp;"d"),"🔴 Retrasado "&amp;(NETWORKDAYS(G11,I11,Festivos!$A$3:$A$21)-1)&amp;"d"),IF(H11&lt;&gt;"","🟡 En desarrollo","⚪ Sin iniciar"))</f>
        <v>⚪ Sin iniciar</v>
      </c>
      <c r="P11" s="33" t="str">
        <f aca="false">IF(AND(J11=0,K11="Alto"),"⚠ Cuello de botella","")</f>
        <v/>
      </c>
      <c r="Q11" s="35" t="s">
        <v>88</v>
      </c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</row>
    <row r="12" customFormat="false" ht="25.5" hidden="false" customHeight="true" outlineLevel="0" collapsed="false">
      <c r="A12" s="27" t="s">
        <v>89</v>
      </c>
      <c r="B12" s="28" t="s">
        <v>57</v>
      </c>
      <c r="C12" s="29" t="s">
        <v>90</v>
      </c>
      <c r="D12" s="30" t="s">
        <v>91</v>
      </c>
      <c r="E12" s="28" t="n">
        <v>1</v>
      </c>
      <c r="F12" s="31" t="n">
        <f aca="false">WORKDAY(MAX(G9,G10,G11),1,Festivos!$A$3:$A$21)</f>
        <v>46280</v>
      </c>
      <c r="G12" s="31" t="n">
        <f aca="false">WORKDAY(F12,E12-1,Festivos!$A$3:$A$21)</f>
        <v>46280</v>
      </c>
      <c r="H12" s="32"/>
      <c r="I12" s="32"/>
      <c r="J12" s="28" t="n">
        <v>0</v>
      </c>
      <c r="K12" s="33" t="s">
        <v>70</v>
      </c>
      <c r="L12" s="33" t="str">
        <f aca="false">IF(I12&lt;&gt;"","Completado",IF(H12&lt;&gt;"","En curso","Pendiente"))</f>
        <v>Pendiente</v>
      </c>
      <c r="M12" s="34" t="n">
        <f aca="true">IF(L12="Completado",1,IF(L12="Pendiente",0,IF(F12=G12,IF(TODAY()&gt;=G12,1,0),MIN(MAX((TODAY()-F12)/(G12-F12),0),0.95))))</f>
        <v>0</v>
      </c>
      <c r="N12" s="35" t="str">
        <f aca="true">IF(L12="Completado","",IF(AND(L12="Pendiente",TODAY()&gt;F12),"🔴 No iniciada (debía empezar "&amp;TEXT(F12,"DD/MM")&amp;")",IF(TODAY()&gt;G12,"🔴 Fuera de tiempo (debía entregarse "&amp;TEXT(G12,"DD/MM")&amp;")",IF(TODAY()&gt;=WORKDAY(G12,-2,Festivos!$A$3:$A$21),"🟡 Por vencer",""))))</f>
        <v/>
      </c>
      <c r="O12" s="35" t="str">
        <f aca="false">IF(I12&lt;&gt;"",IF(I12&lt;=G12,IF(I12=G12,"✅ A tiempo","✅ Adelantado "&amp;(NETWORKDAYS(I12,G12,Festivos!$A$3:$A$21)-1)&amp;"d"),"🔴 Retrasado "&amp;(NETWORKDAYS(G12,I12,Festivos!$A$3:$A$21)-1)&amp;"d"),IF(H12&lt;&gt;"","🟡 En desarrollo","⚪ Sin iniciar"))</f>
        <v>⚪ Sin iniciar</v>
      </c>
      <c r="P12" s="33" t="str">
        <f aca="false">IF(AND(J12=0,K12="Alto"),"⚠ Cuello de botella","")</f>
        <v/>
      </c>
      <c r="Q12" s="35" t="s">
        <v>92</v>
      </c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</row>
    <row r="13" customFormat="false" ht="21.75" hidden="false" customHeight="true" outlineLevel="0" collapsed="false">
      <c r="A13" s="37" t="s">
        <v>93</v>
      </c>
      <c r="B13" s="37" t="s">
        <v>57</v>
      </c>
      <c r="C13" s="38" t="s">
        <v>94</v>
      </c>
      <c r="D13" s="38" t="s">
        <v>95</v>
      </c>
      <c r="E13" s="37" t="n">
        <f aca="false">NETWORKDAYS(F13,G13,Festivos!$A$3:$A$21)</f>
        <v>14</v>
      </c>
      <c r="F13" s="39" t="n">
        <f aca="false">MIN(F4:F12)</f>
        <v>46261</v>
      </c>
      <c r="G13" s="39" t="n">
        <f aca="false">G12</f>
        <v>46280</v>
      </c>
      <c r="H13" s="39"/>
      <c r="I13" s="39"/>
      <c r="J13" s="37" t="n">
        <v>0</v>
      </c>
      <c r="K13" s="37" t="str">
        <f aca="false">IF(COUNTIF(K4:K12,"Alto")&gt;0,"Alto",IF(COUNTIF(K4:K12,"Medio")&gt;0,"Medio","Bajo"))</f>
        <v>Alto</v>
      </c>
      <c r="L13" s="40" t="str">
        <f aca="false">IF(COUNTIF(L4:L12,"Completado")=9,"Completado",IF(COUNTIF(L4:L12,"Bloqueado")&gt;0,"Bloqueado",IF(COUNTIF(L4:L12,"En curso")&gt;0,"En curso","Pendiente")))</f>
        <v>En curso</v>
      </c>
      <c r="M13" s="41" t="n">
        <f aca="false">AVERAGE(M4:M12)</f>
        <v>0.111111111111111</v>
      </c>
      <c r="N13" s="38" t="str">
        <f aca="false">IF(COUNTIF(N4:N12,"🔴*")&gt;0,"🔴 "&amp;COUNTIF(N4:N12,"🔴*")&amp;" tarea(s) atrasada(s)",IF(COUNTIF(N4:N12,"🟡*")&gt;0,"🟡 "&amp;COUNTIF(N4:N12,"🟡*")&amp;" por vencer",""))</f>
        <v/>
      </c>
      <c r="O13" s="38" t="str">
        <f aca="false">IF(I13&lt;&gt;"",IF(I13&lt;=G13,IF(I13=G13,"✅ A tiempo","✅ Adelantado "&amp;(NETWORKDAYS(I13,G13,Festivos!$A$3:$A$21)-1)&amp;"d"),"🔴 Retrasado "&amp;(NETWORKDAYS(G13,I13,Festivos!$A$3:$A$21)-1)&amp;"d"),IF(H13&lt;&gt;"","🟡 En desarrollo","⚪ Sin iniciar"))</f>
        <v>⚪ Sin iniciar</v>
      </c>
      <c r="P13" s="37" t="str">
        <f aca="false">IF(COUNTIF(P4:P12,"*Cuello*")&gt;0,"⚠ "&amp;COUNTIF(P4:P12,"*Cuello*")&amp;" cuello(s) de botella","")</f>
        <v>⚠ 1 cuello(s) de botella</v>
      </c>
      <c r="Q13" s="38" t="s">
        <v>96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</row>
    <row r="14" customFormat="false" ht="25.5" hidden="false" customHeight="true" outlineLevel="0" collapsed="false">
      <c r="A14" s="42" t="s">
        <v>97</v>
      </c>
      <c r="B14" s="43" t="s">
        <v>98</v>
      </c>
      <c r="C14" s="44" t="s">
        <v>99</v>
      </c>
      <c r="D14" s="45" t="s">
        <v>100</v>
      </c>
      <c r="E14" s="43" t="n">
        <v>5</v>
      </c>
      <c r="F14" s="46" t="n">
        <f aca="false">WORKDAY(G13,1,Festivos!$A$3:$A$21)</f>
        <v>46281</v>
      </c>
      <c r="G14" s="46" t="n">
        <f aca="false">WORKDAY(F14,E14-1,Festivos!$A$3:$A$21)</f>
        <v>46287</v>
      </c>
      <c r="H14" s="32"/>
      <c r="I14" s="32"/>
      <c r="J14" s="43" t="n">
        <v>0</v>
      </c>
      <c r="K14" s="33" t="s">
        <v>65</v>
      </c>
      <c r="L14" s="33" t="str">
        <f aca="false">IF(I14&lt;&gt;"","Completado",IF(H14&lt;&gt;"","En curso","Pendiente"))</f>
        <v>Pendiente</v>
      </c>
      <c r="M14" s="34" t="n">
        <f aca="true">IF(L14="Completado",1,IF(L14="Pendiente",0,IF(F14=G14,IF(TODAY()&gt;=G14,1,0),MIN(MAX((TODAY()-F14)/(G14-F14),0),0.95))))</f>
        <v>0</v>
      </c>
      <c r="N14" s="35" t="str">
        <f aca="true">IF(L14="Completado","",IF(AND(L14="Pendiente",TODAY()&gt;F14),"🔴 No iniciada (debía empezar "&amp;TEXT(F14,"DD/MM")&amp;")",IF(TODAY()&gt;G14,"🔴 Fuera de tiempo (debía entregarse "&amp;TEXT(G14,"DD/MM")&amp;")",IF(TODAY()&gt;=WORKDAY(G14,-2,Festivos!$A$3:$A$21),"🟡 Por vencer",""))))</f>
        <v/>
      </c>
      <c r="O14" s="35" t="str">
        <f aca="false">IF(I14&lt;&gt;"",IF(I14&lt;=G14,IF(I14=G14,"✅ A tiempo","✅ Adelantado "&amp;(NETWORKDAYS(I14,G14,Festivos!$A$3:$A$21)-1)&amp;"d"),"🔴 Retrasado "&amp;(NETWORKDAYS(G14,I14,Festivos!$A$3:$A$21)-1)&amp;"d"),IF(H14&lt;&gt;"","🟡 En desarrollo","⚪ Sin iniciar"))</f>
        <v>⚪ Sin iniciar</v>
      </c>
      <c r="P14" s="33" t="str">
        <f aca="false">IF(AND(J14=0,K14="Alto"),"⚠ Cuello de botella","")</f>
        <v/>
      </c>
      <c r="Q14" s="35" t="s">
        <v>101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</row>
    <row r="15" customFormat="false" ht="25.5" hidden="false" customHeight="true" outlineLevel="0" collapsed="false">
      <c r="A15" s="42" t="s">
        <v>102</v>
      </c>
      <c r="B15" s="43" t="s">
        <v>98</v>
      </c>
      <c r="C15" s="44" t="s">
        <v>103</v>
      </c>
      <c r="D15" s="45" t="s">
        <v>104</v>
      </c>
      <c r="E15" s="43" t="n">
        <v>5</v>
      </c>
      <c r="F15" s="46" t="n">
        <f aca="false">F14</f>
        <v>46281</v>
      </c>
      <c r="G15" s="46" t="n">
        <f aca="false">WORKDAY(F15,E15-1,Festivos!$A$3:$A$21)</f>
        <v>46287</v>
      </c>
      <c r="H15" s="32"/>
      <c r="I15" s="32"/>
      <c r="J15" s="43" t="n">
        <f aca="false">NETWORKDAYS(G15,G14,Festivos!$A$3:$A$21)-1</f>
        <v>0</v>
      </c>
      <c r="K15" s="33" t="s">
        <v>70</v>
      </c>
      <c r="L15" s="33" t="str">
        <f aca="false">IF(I15&lt;&gt;"","Completado",IF(H15&lt;&gt;"","En curso","Pendiente"))</f>
        <v>Pendiente</v>
      </c>
      <c r="M15" s="34" t="n">
        <f aca="true">IF(L15="Completado",1,IF(L15="Pendiente",0,IF(F15=G15,IF(TODAY()&gt;=G15,1,0),MIN(MAX((TODAY()-F15)/(G15-F15),0),0.95))))</f>
        <v>0</v>
      </c>
      <c r="N15" s="35" t="str">
        <f aca="true">IF(L15="Completado","",IF(AND(L15="Pendiente",TODAY()&gt;F15),"🔴 No iniciada (debía empezar "&amp;TEXT(F15,"DD/MM")&amp;")",IF(TODAY()&gt;G15,"🔴 Fuera de tiempo (debía entregarse "&amp;TEXT(G15,"DD/MM")&amp;")",IF(TODAY()&gt;=WORKDAY(G15,-2,Festivos!$A$3:$A$21),"🟡 Por vencer",""))))</f>
        <v/>
      </c>
      <c r="O15" s="35" t="str">
        <f aca="false">IF(I15&lt;&gt;"",IF(I15&lt;=G15,IF(I15=G15,"✅ A tiempo","✅ Adelantado "&amp;(NETWORKDAYS(I15,G15,Festivos!$A$3:$A$21)-1)&amp;"d"),"🔴 Retrasado "&amp;(NETWORKDAYS(G15,I15,Festivos!$A$3:$A$21)-1)&amp;"d"),IF(H15&lt;&gt;"","🟡 En desarrollo","⚪ Sin iniciar"))</f>
        <v>⚪ Sin iniciar</v>
      </c>
      <c r="P15" s="33" t="str">
        <f aca="false">IF(AND(J15=0,K15="Alto"),"⚠ Cuello de botella","")</f>
        <v/>
      </c>
      <c r="Q15" s="35" t="s">
        <v>105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</row>
    <row r="16" customFormat="false" ht="25.5" hidden="false" customHeight="true" outlineLevel="0" collapsed="false">
      <c r="A16" s="42" t="s">
        <v>106</v>
      </c>
      <c r="B16" s="43" t="s">
        <v>98</v>
      </c>
      <c r="C16" s="44" t="s">
        <v>107</v>
      </c>
      <c r="D16" s="45" t="s">
        <v>100</v>
      </c>
      <c r="E16" s="43" t="n">
        <v>8</v>
      </c>
      <c r="F16" s="46" t="n">
        <f aca="false">WORKDAY(G14,1,Festivos!$A$3:$A$21)</f>
        <v>46288</v>
      </c>
      <c r="G16" s="46" t="n">
        <f aca="false">WORKDAY(F16,E16-1,Festivos!$A$3:$A$21)</f>
        <v>46297</v>
      </c>
      <c r="H16" s="32"/>
      <c r="I16" s="32"/>
      <c r="J16" s="43" t="n">
        <v>0</v>
      </c>
      <c r="K16" s="33" t="s">
        <v>60</v>
      </c>
      <c r="L16" s="33" t="str">
        <f aca="false">IF(I16&lt;&gt;"","Completado",IF(H16&lt;&gt;"","En curso","Pendiente"))</f>
        <v>Pendiente</v>
      </c>
      <c r="M16" s="34" t="n">
        <f aca="true">IF(L16="Completado",1,IF(L16="Pendiente",0,IF(F16=G16,IF(TODAY()&gt;=G16,1,0),MIN(MAX((TODAY()-F16)/(G16-F16),0),0.95))))</f>
        <v>0</v>
      </c>
      <c r="N16" s="35" t="str">
        <f aca="true">IF(L16="Completado","",IF(AND(L16="Pendiente",TODAY()&gt;F16),"🔴 No iniciada (debía empezar "&amp;TEXT(F16,"DD/MM")&amp;")",IF(TODAY()&gt;G16,"🔴 Fuera de tiempo (debía entregarse "&amp;TEXT(G16,"DD/MM")&amp;")",IF(TODAY()&gt;=WORKDAY(G16,-2,Festivos!$A$3:$A$21),"🟡 Por vencer",""))))</f>
        <v/>
      </c>
      <c r="O16" s="35" t="str">
        <f aca="false">IF(I16&lt;&gt;"",IF(I16&lt;=G16,IF(I16=G16,"✅ A tiempo","✅ Adelantado "&amp;(NETWORKDAYS(I16,G16,Festivos!$A$3:$A$21)-1)&amp;"d"),"🔴 Retrasado "&amp;(NETWORKDAYS(G16,I16,Festivos!$A$3:$A$21)-1)&amp;"d"),IF(H16&lt;&gt;"","🟡 En desarrollo","⚪ Sin iniciar"))</f>
        <v>⚪ Sin iniciar</v>
      </c>
      <c r="P16" s="33" t="str">
        <f aca="false">IF(AND(J16=0,K16="Alto"),"⚠ Cuello de botella","")</f>
        <v>⚠ Cuello de botella</v>
      </c>
      <c r="Q16" s="35" t="s">
        <v>108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</row>
    <row r="17" customFormat="false" ht="25.5" hidden="false" customHeight="true" outlineLevel="0" collapsed="false">
      <c r="A17" s="42" t="s">
        <v>109</v>
      </c>
      <c r="B17" s="43" t="s">
        <v>98</v>
      </c>
      <c r="C17" s="44" t="s">
        <v>110</v>
      </c>
      <c r="D17" s="45" t="s">
        <v>104</v>
      </c>
      <c r="E17" s="43" t="n">
        <v>8</v>
      </c>
      <c r="F17" s="46" t="n">
        <f aca="false">F16</f>
        <v>46288</v>
      </c>
      <c r="G17" s="46" t="n">
        <f aca="false">WORKDAY(F17,E17-1,Festivos!$A$3:$A$21)</f>
        <v>46297</v>
      </c>
      <c r="H17" s="32"/>
      <c r="I17" s="32"/>
      <c r="J17" s="43" t="n">
        <f aca="false">NETWORKDAYS(G17,G16,Festivos!$A$3:$A$21)-1</f>
        <v>0</v>
      </c>
      <c r="K17" s="33" t="s">
        <v>70</v>
      </c>
      <c r="L17" s="33" t="str">
        <f aca="false">IF(I17&lt;&gt;"","Completado",IF(H17&lt;&gt;"","En curso","Pendiente"))</f>
        <v>Pendiente</v>
      </c>
      <c r="M17" s="34" t="n">
        <f aca="true">IF(L17="Completado",1,IF(L17="Pendiente",0,IF(F17=G17,IF(TODAY()&gt;=G17,1,0),MIN(MAX((TODAY()-F17)/(G17-F17),0),0.95))))</f>
        <v>0</v>
      </c>
      <c r="N17" s="35" t="str">
        <f aca="true">IF(L17="Completado","",IF(AND(L17="Pendiente",TODAY()&gt;F17),"🔴 No iniciada (debía empezar "&amp;TEXT(F17,"DD/MM")&amp;")",IF(TODAY()&gt;G17,"🔴 Fuera de tiempo (debía entregarse "&amp;TEXT(G17,"DD/MM")&amp;")",IF(TODAY()&gt;=WORKDAY(G17,-2,Festivos!$A$3:$A$21),"🟡 Por vencer",""))))</f>
        <v/>
      </c>
      <c r="O17" s="35" t="str">
        <f aca="false">IF(I17&lt;&gt;"",IF(I17&lt;=G17,IF(I17=G17,"✅ A tiempo","✅ Adelantado "&amp;(NETWORKDAYS(I17,G17,Festivos!$A$3:$A$21)-1)&amp;"d"),"🔴 Retrasado "&amp;(NETWORKDAYS(G17,I17,Festivos!$A$3:$A$21)-1)&amp;"d"),IF(H17&lt;&gt;"","🟡 En desarrollo","⚪ Sin iniciar"))</f>
        <v>⚪ Sin iniciar</v>
      </c>
      <c r="P17" s="33" t="str">
        <f aca="false">IF(AND(J17=0,K17="Alto"),"⚠ Cuello de botella","")</f>
        <v/>
      </c>
      <c r="Q17" s="35" t="s">
        <v>111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</row>
    <row r="18" customFormat="false" ht="25.5" hidden="false" customHeight="true" outlineLevel="0" collapsed="false">
      <c r="A18" s="42" t="s">
        <v>112</v>
      </c>
      <c r="B18" s="43" t="s">
        <v>98</v>
      </c>
      <c r="C18" s="44" t="s">
        <v>113</v>
      </c>
      <c r="D18" s="45" t="s">
        <v>114</v>
      </c>
      <c r="E18" s="43" t="n">
        <v>5</v>
      </c>
      <c r="F18" s="46" t="n">
        <f aca="false">WORKDAY(G16,1,Festivos!$A$3:$A$21)</f>
        <v>46300</v>
      </c>
      <c r="G18" s="46" t="n">
        <f aca="false">WORKDAY(F18,E18-1,Festivos!$A$3:$A$21)</f>
        <v>46304</v>
      </c>
      <c r="H18" s="32"/>
      <c r="I18" s="32"/>
      <c r="J18" s="43" t="n">
        <v>0</v>
      </c>
      <c r="K18" s="33" t="s">
        <v>60</v>
      </c>
      <c r="L18" s="33" t="str">
        <f aca="false">IF(I18&lt;&gt;"","Completado",IF(H18&lt;&gt;"","En curso","Pendiente"))</f>
        <v>Pendiente</v>
      </c>
      <c r="M18" s="34" t="n">
        <f aca="true">IF(L18="Completado",1,IF(L18="Pendiente",0,IF(F18=G18,IF(TODAY()&gt;=G18,1,0),MIN(MAX((TODAY()-F18)/(G18-F18),0),0.95))))</f>
        <v>0</v>
      </c>
      <c r="N18" s="35" t="str">
        <f aca="true">IF(L18="Completado","",IF(AND(L18="Pendiente",TODAY()&gt;F18),"🔴 No iniciada (debía empezar "&amp;TEXT(F18,"DD/MM")&amp;")",IF(TODAY()&gt;G18,"🔴 Fuera de tiempo (debía entregarse "&amp;TEXT(G18,"DD/MM")&amp;")",IF(TODAY()&gt;=WORKDAY(G18,-2,Festivos!$A$3:$A$21),"🟡 Por vencer",""))))</f>
        <v/>
      </c>
      <c r="O18" s="35" t="str">
        <f aca="false">IF(I18&lt;&gt;"",IF(I18&lt;=G18,IF(I18=G18,"✅ A tiempo","✅ Adelantado "&amp;(NETWORKDAYS(I18,G18,Festivos!$A$3:$A$21)-1)&amp;"d"),"🔴 Retrasado "&amp;(NETWORKDAYS(G18,I18,Festivos!$A$3:$A$21)-1)&amp;"d"),IF(H18&lt;&gt;"","🟡 En desarrollo","⚪ Sin iniciar"))</f>
        <v>⚪ Sin iniciar</v>
      </c>
      <c r="P18" s="33" t="str">
        <f aca="false">IF(AND(J18=0,K18="Alto"),"⚠ Cuello de botella","")</f>
        <v>⚠ Cuello de botella</v>
      </c>
      <c r="Q18" s="35" t="s">
        <v>115</v>
      </c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</row>
    <row r="19" customFormat="false" ht="25.5" hidden="false" customHeight="true" outlineLevel="0" collapsed="false">
      <c r="A19" s="42" t="s">
        <v>116</v>
      </c>
      <c r="B19" s="43" t="s">
        <v>98</v>
      </c>
      <c r="C19" s="44" t="s">
        <v>117</v>
      </c>
      <c r="D19" s="45" t="s">
        <v>104</v>
      </c>
      <c r="E19" s="43" t="n">
        <v>5</v>
      </c>
      <c r="F19" s="46" t="n">
        <f aca="false">F18</f>
        <v>46300</v>
      </c>
      <c r="G19" s="46" t="n">
        <f aca="false">WORKDAY(F19,E19-1,Festivos!$A$3:$A$21)</f>
        <v>46304</v>
      </c>
      <c r="H19" s="32"/>
      <c r="I19" s="32"/>
      <c r="J19" s="43" t="n">
        <f aca="false">NETWORKDAYS(G19,G18,Festivos!$A$3:$A$21)-1</f>
        <v>0</v>
      </c>
      <c r="K19" s="33" t="s">
        <v>70</v>
      </c>
      <c r="L19" s="33" t="str">
        <f aca="false">IF(I19&lt;&gt;"","Completado",IF(H19&lt;&gt;"","En curso","Pendiente"))</f>
        <v>Pendiente</v>
      </c>
      <c r="M19" s="34" t="n">
        <f aca="true">IF(L19="Completado",1,IF(L19="Pendiente",0,IF(F19=G19,IF(TODAY()&gt;=G19,1,0),MIN(MAX((TODAY()-F19)/(G19-F19),0),0.95))))</f>
        <v>0</v>
      </c>
      <c r="N19" s="35" t="str">
        <f aca="true">IF(L19="Completado","",IF(AND(L19="Pendiente",TODAY()&gt;F19),"🔴 No iniciada (debía empezar "&amp;TEXT(F19,"DD/MM")&amp;")",IF(TODAY()&gt;G19,"🔴 Fuera de tiempo (debía entregarse "&amp;TEXT(G19,"DD/MM")&amp;")",IF(TODAY()&gt;=WORKDAY(G19,-2,Festivos!$A$3:$A$21),"🟡 Por vencer",""))))</f>
        <v/>
      </c>
      <c r="O19" s="35" t="str">
        <f aca="false">IF(I19&lt;&gt;"",IF(I19&lt;=G19,IF(I19=G19,"✅ A tiempo","✅ Adelantado "&amp;(NETWORKDAYS(I19,G19,Festivos!$A$3:$A$21)-1)&amp;"d"),"🔴 Retrasado "&amp;(NETWORKDAYS(G19,I19,Festivos!$A$3:$A$21)-1)&amp;"d"),IF(H19&lt;&gt;"","🟡 En desarrollo","⚪ Sin iniciar"))</f>
        <v>⚪ Sin iniciar</v>
      </c>
      <c r="P19" s="33" t="str">
        <f aca="false">IF(AND(J19=0,K19="Alto"),"⚠ Cuello de botella","")</f>
        <v/>
      </c>
      <c r="Q19" s="35" t="s">
        <v>118</v>
      </c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</row>
    <row r="20" customFormat="false" ht="25.5" hidden="false" customHeight="true" outlineLevel="0" collapsed="false">
      <c r="A20" s="42" t="s">
        <v>119</v>
      </c>
      <c r="B20" s="43" t="s">
        <v>98</v>
      </c>
      <c r="C20" s="44" t="s">
        <v>120</v>
      </c>
      <c r="D20" s="45" t="s">
        <v>100</v>
      </c>
      <c r="E20" s="43" t="n">
        <v>7</v>
      </c>
      <c r="F20" s="46" t="n">
        <f aca="false">WORKDAY(G18,1,Festivos!$A$3:$A$21)</f>
        <v>46308</v>
      </c>
      <c r="G20" s="46" t="n">
        <f aca="false">WORKDAY(F20,E20-1,Festivos!$A$3:$A$21)</f>
        <v>46316</v>
      </c>
      <c r="H20" s="32"/>
      <c r="I20" s="32"/>
      <c r="J20" s="43" t="n">
        <v>0</v>
      </c>
      <c r="K20" s="33" t="s">
        <v>65</v>
      </c>
      <c r="L20" s="33" t="str">
        <f aca="false">IF(I20&lt;&gt;"","Completado",IF(H20&lt;&gt;"","En curso","Pendiente"))</f>
        <v>Pendiente</v>
      </c>
      <c r="M20" s="34" t="n">
        <f aca="true">IF(L20="Completado",1,IF(L20="Pendiente",0,IF(F20=G20,IF(TODAY()&gt;=G20,1,0),MIN(MAX((TODAY()-F20)/(G20-F20),0),0.95))))</f>
        <v>0</v>
      </c>
      <c r="N20" s="35" t="str">
        <f aca="true">IF(L20="Completado","",IF(AND(L20="Pendiente",TODAY()&gt;F20),"🔴 No iniciada (debía empezar "&amp;TEXT(F20,"DD/MM")&amp;")",IF(TODAY()&gt;G20,"🔴 Fuera de tiempo (debía entregarse "&amp;TEXT(G20,"DD/MM")&amp;")",IF(TODAY()&gt;=WORKDAY(G20,-2,Festivos!$A$3:$A$21),"🟡 Por vencer",""))))</f>
        <v/>
      </c>
      <c r="O20" s="35" t="str">
        <f aca="false">IF(I20&lt;&gt;"",IF(I20&lt;=G20,IF(I20=G20,"✅ A tiempo","✅ Adelantado "&amp;(NETWORKDAYS(I20,G20,Festivos!$A$3:$A$21)-1)&amp;"d"),"🔴 Retrasado "&amp;(NETWORKDAYS(G20,I20,Festivos!$A$3:$A$21)-1)&amp;"d"),IF(H20&lt;&gt;"","🟡 En desarrollo","⚪ Sin iniciar"))</f>
        <v>⚪ Sin iniciar</v>
      </c>
      <c r="P20" s="33" t="str">
        <f aca="false">IF(AND(J20=0,K20="Alto"),"⚠ Cuello de botella","")</f>
        <v/>
      </c>
      <c r="Q20" s="35" t="s">
        <v>121</v>
      </c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</row>
    <row r="21" customFormat="false" ht="25.5" hidden="false" customHeight="true" outlineLevel="0" collapsed="false">
      <c r="A21" s="42" t="s">
        <v>122</v>
      </c>
      <c r="B21" s="43" t="s">
        <v>98</v>
      </c>
      <c r="C21" s="44" t="s">
        <v>123</v>
      </c>
      <c r="D21" s="45" t="s">
        <v>104</v>
      </c>
      <c r="E21" s="43" t="n">
        <v>7</v>
      </c>
      <c r="F21" s="46" t="n">
        <f aca="false">F20</f>
        <v>46308</v>
      </c>
      <c r="G21" s="46" t="n">
        <f aca="false">WORKDAY(F21,E21-1,Festivos!$A$3:$A$21)</f>
        <v>46316</v>
      </c>
      <c r="H21" s="32"/>
      <c r="I21" s="32"/>
      <c r="J21" s="43" t="n">
        <f aca="false">NETWORKDAYS(G21,G20,Festivos!$A$3:$A$21)-1</f>
        <v>0</v>
      </c>
      <c r="K21" s="33" t="s">
        <v>70</v>
      </c>
      <c r="L21" s="33" t="str">
        <f aca="false">IF(I21&lt;&gt;"","Completado",IF(H21&lt;&gt;"","En curso","Pendiente"))</f>
        <v>Pendiente</v>
      </c>
      <c r="M21" s="34" t="n">
        <f aca="true">IF(L21="Completado",1,IF(L21="Pendiente",0,IF(F21=G21,IF(TODAY()&gt;=G21,1,0),MIN(MAX((TODAY()-F21)/(G21-F21),0),0.95))))</f>
        <v>0</v>
      </c>
      <c r="N21" s="35" t="str">
        <f aca="true">IF(L21="Completado","",IF(AND(L21="Pendiente",TODAY()&gt;F21),"🔴 No iniciada (debía empezar "&amp;TEXT(F21,"DD/MM")&amp;")",IF(TODAY()&gt;G21,"🔴 Fuera de tiempo (debía entregarse "&amp;TEXT(G21,"DD/MM")&amp;")",IF(TODAY()&gt;=WORKDAY(G21,-2,Festivos!$A$3:$A$21),"🟡 Por vencer",""))))</f>
        <v/>
      </c>
      <c r="O21" s="35" t="str">
        <f aca="false">IF(I21&lt;&gt;"",IF(I21&lt;=G21,IF(I21=G21,"✅ A tiempo","✅ Adelantado "&amp;(NETWORKDAYS(I21,G21,Festivos!$A$3:$A$21)-1)&amp;"d"),"🔴 Retrasado "&amp;(NETWORKDAYS(G21,I21,Festivos!$A$3:$A$21)-1)&amp;"d"),IF(H21&lt;&gt;"","🟡 En desarrollo","⚪ Sin iniciar"))</f>
        <v>⚪ Sin iniciar</v>
      </c>
      <c r="P21" s="33" t="str">
        <f aca="false">IF(AND(J21=0,K21="Alto"),"⚠ Cuello de botella","")</f>
        <v/>
      </c>
      <c r="Q21" s="35" t="s">
        <v>124</v>
      </c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</row>
    <row r="22" customFormat="false" ht="25.5" hidden="false" customHeight="true" outlineLevel="0" collapsed="false">
      <c r="A22" s="42" t="s">
        <v>125</v>
      </c>
      <c r="B22" s="43" t="s">
        <v>98</v>
      </c>
      <c r="C22" s="44" t="s">
        <v>126</v>
      </c>
      <c r="D22" s="45" t="s">
        <v>100</v>
      </c>
      <c r="E22" s="43" t="n">
        <v>1</v>
      </c>
      <c r="F22" s="46" t="n">
        <f aca="false">WORKDAY(MAX(G20,G21),1,Festivos!$A$3:$A$21)</f>
        <v>46317</v>
      </c>
      <c r="G22" s="46" t="n">
        <f aca="false">WORKDAY(F22,E22-1,Festivos!$A$3:$A$21)</f>
        <v>46317</v>
      </c>
      <c r="H22" s="32"/>
      <c r="I22" s="32"/>
      <c r="J22" s="43" t="n">
        <v>0</v>
      </c>
      <c r="K22" s="33" t="s">
        <v>70</v>
      </c>
      <c r="L22" s="33" t="str">
        <f aca="false">IF(I22&lt;&gt;"","Completado",IF(H22&lt;&gt;"","En curso","Pendiente"))</f>
        <v>Pendiente</v>
      </c>
      <c r="M22" s="34" t="n">
        <f aca="true">IF(L22="Completado",1,IF(L22="Pendiente",0,IF(F22=G22,IF(TODAY()&gt;=G22,1,0),MIN(MAX((TODAY()-F22)/(G22-F22),0),0.95))))</f>
        <v>0</v>
      </c>
      <c r="N22" s="35" t="str">
        <f aca="true">IF(L22="Completado","",IF(AND(L22="Pendiente",TODAY()&gt;F22),"🔴 No iniciada (debía empezar "&amp;TEXT(F22,"DD/MM")&amp;")",IF(TODAY()&gt;G22,"🔴 Fuera de tiempo (debía entregarse "&amp;TEXT(G22,"DD/MM")&amp;")",IF(TODAY()&gt;=WORKDAY(G22,-2,Festivos!$A$3:$A$21),"🟡 Por vencer",""))))</f>
        <v/>
      </c>
      <c r="O22" s="35" t="str">
        <f aca="false">IF(I22&lt;&gt;"",IF(I22&lt;=G22,IF(I22=G22,"✅ A tiempo","✅ Adelantado "&amp;(NETWORKDAYS(I22,G22,Festivos!$A$3:$A$21)-1)&amp;"d"),"🔴 Retrasado "&amp;(NETWORKDAYS(G22,I22,Festivos!$A$3:$A$21)-1)&amp;"d"),IF(H22&lt;&gt;"","🟡 En desarrollo","⚪ Sin iniciar"))</f>
        <v>⚪ Sin iniciar</v>
      </c>
      <c r="P22" s="33" t="str">
        <f aca="false">IF(AND(J22=0,K22="Alto"),"⚠ Cuello de botella","")</f>
        <v/>
      </c>
      <c r="Q22" s="35" t="s">
        <v>127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</row>
    <row r="23" customFormat="false" ht="21.75" hidden="false" customHeight="true" outlineLevel="0" collapsed="false">
      <c r="A23" s="37" t="s">
        <v>128</v>
      </c>
      <c r="B23" s="37" t="s">
        <v>98</v>
      </c>
      <c r="C23" s="38" t="s">
        <v>129</v>
      </c>
      <c r="D23" s="38" t="s">
        <v>95</v>
      </c>
      <c r="E23" s="37" t="n">
        <f aca="false">NETWORKDAYS(F23,G23,Festivos!$A$3:$A$21)</f>
        <v>26</v>
      </c>
      <c r="F23" s="39" t="n">
        <f aca="false">MIN(F14:F22)</f>
        <v>46281</v>
      </c>
      <c r="G23" s="39" t="n">
        <f aca="false">G22</f>
        <v>46317</v>
      </c>
      <c r="H23" s="39"/>
      <c r="I23" s="39"/>
      <c r="J23" s="37" t="n">
        <v>0</v>
      </c>
      <c r="K23" s="37" t="str">
        <f aca="false">IF(COUNTIF(K14:K22,"Alto")&gt;0,"Alto",IF(COUNTIF(K14:K22,"Medio")&gt;0,"Medio","Bajo"))</f>
        <v>Alto</v>
      </c>
      <c r="L23" s="40" t="str">
        <f aca="false">IF(COUNTIF(L14:L22,"Completado")=9,"Completado",IF(COUNTIF(L14:L22,"Bloqueado")&gt;0,"Bloqueado",IF(COUNTIF(L14:L22,"En curso")&gt;0,"En curso","Pendiente")))</f>
        <v>Pendiente</v>
      </c>
      <c r="M23" s="41" t="n">
        <f aca="false">AVERAGE(M14:M22)</f>
        <v>0</v>
      </c>
      <c r="N23" s="38" t="str">
        <f aca="false">IF(COUNTIF(N14:N22,"🔴*")&gt;0,"🔴 "&amp;COUNTIF(N14:N22,"🔴*")&amp;" tarea(s) atrasada(s)",IF(COUNTIF(N14:N22,"🟡*")&gt;0,"🟡 "&amp;COUNTIF(N14:N22,"🟡*")&amp;" por vencer",""))</f>
        <v/>
      </c>
      <c r="O23" s="38" t="str">
        <f aca="false">IF(I23&lt;&gt;"",IF(I23&lt;=G23,IF(I23=G23,"✅ A tiempo","✅ Adelantado "&amp;(NETWORKDAYS(I23,G23,Festivos!$A$3:$A$21)-1)&amp;"d"),"🔴 Retrasado "&amp;(NETWORKDAYS(G23,I23,Festivos!$A$3:$A$21)-1)&amp;"d"),IF(H23&lt;&gt;"","🟡 En desarrollo","⚪ Sin iniciar"))</f>
        <v>⚪ Sin iniciar</v>
      </c>
      <c r="P23" s="37" t="str">
        <f aca="false">IF(COUNTIF(P14:P22,"*Cuello*")&gt;0,"⚠ "&amp;COUNTIF(P14:P22,"*Cuello*")&amp;" cuello(s) de botella","")</f>
        <v>⚠ 2 cuello(s) de botella</v>
      </c>
      <c r="Q23" s="38" t="s">
        <v>130</v>
      </c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</row>
    <row r="24" customFormat="false" ht="25.5" hidden="false" customHeight="true" outlineLevel="0" collapsed="false">
      <c r="A24" s="47" t="s">
        <v>131</v>
      </c>
      <c r="B24" s="48" t="s">
        <v>132</v>
      </c>
      <c r="C24" s="49" t="s">
        <v>133</v>
      </c>
      <c r="D24" s="50" t="s">
        <v>134</v>
      </c>
      <c r="E24" s="48" t="n">
        <v>5</v>
      </c>
      <c r="F24" s="51" t="n">
        <f aca="false">WORKDAY(G23,1,Festivos!$A$3:$A$21)</f>
        <v>46318</v>
      </c>
      <c r="G24" s="51" t="n">
        <f aca="false">WORKDAY(F24,E24-1,Festivos!$A$3:$A$21)</f>
        <v>46324</v>
      </c>
      <c r="H24" s="32"/>
      <c r="I24" s="32"/>
      <c r="J24" s="48" t="n">
        <v>0</v>
      </c>
      <c r="K24" s="33" t="s">
        <v>70</v>
      </c>
      <c r="L24" s="33" t="str">
        <f aca="false">IF(I24&lt;&gt;"","Completado",IF(H24&lt;&gt;"","En curso","Pendiente"))</f>
        <v>Pendiente</v>
      </c>
      <c r="M24" s="34" t="n">
        <f aca="true">IF(L24="Completado",1,IF(L24="Pendiente",0,IF(F24=G24,IF(TODAY()&gt;=G24,1,0),MIN(MAX((TODAY()-F24)/(G24-F24),0),0.95))))</f>
        <v>0</v>
      </c>
      <c r="N24" s="35" t="str">
        <f aca="true">IF(L24="Completado","",IF(AND(L24="Pendiente",TODAY()&gt;F24),"🔴 No iniciada (debía empezar "&amp;TEXT(F24,"DD/MM")&amp;")",IF(TODAY()&gt;G24,"🔴 Fuera de tiempo (debía entregarse "&amp;TEXT(G24,"DD/MM")&amp;")",IF(TODAY()&gt;=WORKDAY(G24,-2,Festivos!$A$3:$A$21),"🟡 Por vencer",""))))</f>
        <v/>
      </c>
      <c r="O24" s="35" t="str">
        <f aca="false">IF(I24&lt;&gt;"",IF(I24&lt;=G24,IF(I24=G24,"✅ A tiempo","✅ Adelantado "&amp;(NETWORKDAYS(I24,G24,Festivos!$A$3:$A$21)-1)&amp;"d"),"🔴 Retrasado "&amp;(NETWORKDAYS(G24,I24,Festivos!$A$3:$A$21)-1)&amp;"d"),IF(H24&lt;&gt;"","🟡 En desarrollo","⚪ Sin iniciar"))</f>
        <v>⚪ Sin iniciar</v>
      </c>
      <c r="P24" s="33" t="str">
        <f aca="false">IF(AND(J24=0,K24="Alto"),"⚠ Cuello de botella","")</f>
        <v/>
      </c>
      <c r="Q24" s="35" t="s">
        <v>135</v>
      </c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</row>
    <row r="25" customFormat="false" ht="25.5" hidden="false" customHeight="true" outlineLevel="0" collapsed="false">
      <c r="A25" s="47" t="s">
        <v>136</v>
      </c>
      <c r="B25" s="48" t="s">
        <v>132</v>
      </c>
      <c r="C25" s="49" t="s">
        <v>137</v>
      </c>
      <c r="D25" s="50" t="s">
        <v>104</v>
      </c>
      <c r="E25" s="48" t="n">
        <v>3</v>
      </c>
      <c r="F25" s="51" t="n">
        <f aca="false">WORKDAY(G24,1,Festivos!$A$3:$A$21)</f>
        <v>46325</v>
      </c>
      <c r="G25" s="51" t="n">
        <f aca="false">WORKDAY(F25,E25-1,Festivos!$A$3:$A$21)</f>
        <v>46330</v>
      </c>
      <c r="H25" s="32"/>
      <c r="I25" s="32"/>
      <c r="J25" s="48" t="n">
        <v>0</v>
      </c>
      <c r="K25" s="33" t="s">
        <v>70</v>
      </c>
      <c r="L25" s="33" t="str">
        <f aca="false">IF(I25&lt;&gt;"","Completado",IF(H25&lt;&gt;"","En curso","Pendiente"))</f>
        <v>Pendiente</v>
      </c>
      <c r="M25" s="34" t="n">
        <f aca="true">IF(L25="Completado",1,IF(L25="Pendiente",0,IF(F25=G25,IF(TODAY()&gt;=G25,1,0),MIN(MAX((TODAY()-F25)/(G25-F25),0),0.95))))</f>
        <v>0</v>
      </c>
      <c r="N25" s="35" t="str">
        <f aca="true">IF(L25="Completado","",IF(AND(L25="Pendiente",TODAY()&gt;F25),"🔴 No iniciada (debía empezar "&amp;TEXT(F25,"DD/MM")&amp;")",IF(TODAY()&gt;G25,"🔴 Fuera de tiempo (debía entregarse "&amp;TEXT(G25,"DD/MM")&amp;")",IF(TODAY()&gt;=WORKDAY(G25,-2,Festivos!$A$3:$A$21),"🟡 Por vencer",""))))</f>
        <v/>
      </c>
      <c r="O25" s="35" t="str">
        <f aca="false">IF(I25&lt;&gt;"",IF(I25&lt;=G25,IF(I25=G25,"✅ A tiempo","✅ Adelantado "&amp;(NETWORKDAYS(I25,G25,Festivos!$A$3:$A$21)-1)&amp;"d"),"🔴 Retrasado "&amp;(NETWORKDAYS(G25,I25,Festivos!$A$3:$A$21)-1)&amp;"d"),IF(H25&lt;&gt;"","🟡 En desarrollo","⚪ Sin iniciar"))</f>
        <v>⚪ Sin iniciar</v>
      </c>
      <c r="P25" s="33" t="str">
        <f aca="false">IF(AND(J25=0,K25="Alto"),"⚠ Cuello de botella","")</f>
        <v/>
      </c>
      <c r="Q25" s="35" t="s">
        <v>138</v>
      </c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</row>
    <row r="26" customFormat="false" ht="25.5" hidden="false" customHeight="true" outlineLevel="0" collapsed="false">
      <c r="A26" s="47" t="s">
        <v>139</v>
      </c>
      <c r="B26" s="48" t="s">
        <v>132</v>
      </c>
      <c r="C26" s="49" t="s">
        <v>140</v>
      </c>
      <c r="D26" s="50" t="s">
        <v>104</v>
      </c>
      <c r="E26" s="48" t="n">
        <v>3</v>
      </c>
      <c r="F26" s="51" t="n">
        <f aca="false">F25</f>
        <v>46325</v>
      </c>
      <c r="G26" s="51" t="n">
        <f aca="false">WORKDAY(F26,E26-1,Festivos!$A$3:$A$21)</f>
        <v>46330</v>
      </c>
      <c r="H26" s="32"/>
      <c r="I26" s="32"/>
      <c r="J26" s="48" t="n">
        <f aca="false">NETWORKDAYS(G26,G25,Festivos!$A$3:$A$21)-1</f>
        <v>0</v>
      </c>
      <c r="K26" s="33" t="s">
        <v>65</v>
      </c>
      <c r="L26" s="33" t="str">
        <f aca="false">IF(I26&lt;&gt;"","Completado",IF(H26&lt;&gt;"","En curso","Pendiente"))</f>
        <v>Pendiente</v>
      </c>
      <c r="M26" s="34" t="n">
        <f aca="true">IF(L26="Completado",1,IF(L26="Pendiente",0,IF(F26=G26,IF(TODAY()&gt;=G26,1,0),MIN(MAX((TODAY()-F26)/(G26-F26),0),0.95))))</f>
        <v>0</v>
      </c>
      <c r="N26" s="35" t="str">
        <f aca="true">IF(L26="Completado","",IF(AND(L26="Pendiente",TODAY()&gt;F26),"🔴 No iniciada (debía empezar "&amp;TEXT(F26,"DD/MM")&amp;")",IF(TODAY()&gt;G26,"🔴 Fuera de tiempo (debía entregarse "&amp;TEXT(G26,"DD/MM")&amp;")",IF(TODAY()&gt;=WORKDAY(G26,-2,Festivos!$A$3:$A$21),"🟡 Por vencer",""))))</f>
        <v/>
      </c>
      <c r="O26" s="35" t="str">
        <f aca="false">IF(I26&lt;&gt;"",IF(I26&lt;=G26,IF(I26=G26,"✅ A tiempo","✅ Adelantado "&amp;(NETWORKDAYS(I26,G26,Festivos!$A$3:$A$21)-1)&amp;"d"),"🔴 Retrasado "&amp;(NETWORKDAYS(G26,I26,Festivos!$A$3:$A$21)-1)&amp;"d"),IF(H26&lt;&gt;"","🟡 En desarrollo","⚪ Sin iniciar"))</f>
        <v>⚪ Sin iniciar</v>
      </c>
      <c r="P26" s="33" t="str">
        <f aca="false">IF(AND(J26=0,K26="Alto"),"⚠ Cuello de botella","")</f>
        <v/>
      </c>
      <c r="Q26" s="35" t="s">
        <v>141</v>
      </c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</row>
    <row r="27" customFormat="false" ht="25.5" hidden="false" customHeight="true" outlineLevel="0" collapsed="false">
      <c r="A27" s="52" t="s">
        <v>142</v>
      </c>
      <c r="B27" s="53" t="s">
        <v>143</v>
      </c>
      <c r="C27" s="54" t="s">
        <v>144</v>
      </c>
      <c r="D27" s="55" t="s">
        <v>145</v>
      </c>
      <c r="E27" s="53" t="n">
        <v>4</v>
      </c>
      <c r="F27" s="56" t="n">
        <f aca="false">WORKDAY(MAX(G25,G26),1,Festivos!$A$3:$A$21)</f>
        <v>46331</v>
      </c>
      <c r="G27" s="56" t="n">
        <f aca="false">WORKDAY(F27,E27-1,Festivos!$A$3:$A$21)</f>
        <v>46336</v>
      </c>
      <c r="H27" s="32"/>
      <c r="I27" s="32"/>
      <c r="J27" s="53" t="n">
        <v>0</v>
      </c>
      <c r="K27" s="33" t="s">
        <v>65</v>
      </c>
      <c r="L27" s="33" t="str">
        <f aca="false">IF(I27&lt;&gt;"","Completado",IF(H27&lt;&gt;"","En curso","Pendiente"))</f>
        <v>Pendiente</v>
      </c>
      <c r="M27" s="34" t="n">
        <f aca="true">IF(L27="Completado",1,IF(L27="Pendiente",0,IF(F27=G27,IF(TODAY()&gt;=G27,1,0),MIN(MAX((TODAY()-F27)/(G27-F27),0),0.95))))</f>
        <v>0</v>
      </c>
      <c r="N27" s="35" t="str">
        <f aca="true">IF(L27="Completado","",IF(AND(L27="Pendiente",TODAY()&gt;F27),"🔴 No iniciada (debía empezar "&amp;TEXT(F27,"DD/MM")&amp;")",IF(TODAY()&gt;G27,"🔴 Fuera de tiempo (debía entregarse "&amp;TEXT(G27,"DD/MM")&amp;")",IF(TODAY()&gt;=WORKDAY(G27,-2,Festivos!$A$3:$A$21),"🟡 Por vencer",""))))</f>
        <v/>
      </c>
      <c r="O27" s="35" t="str">
        <f aca="false">IF(I27&lt;&gt;"",IF(I27&lt;=G27,IF(I27=G27,"✅ A tiempo","✅ Adelantado "&amp;(NETWORKDAYS(I27,G27,Festivos!$A$3:$A$21)-1)&amp;"d"),"🔴 Retrasado "&amp;(NETWORKDAYS(G27,I27,Festivos!$A$3:$A$21)-1)&amp;"d"),IF(H27&lt;&gt;"","🟡 En desarrollo","⚪ Sin iniciar"))</f>
        <v>⚪ Sin iniciar</v>
      </c>
      <c r="P27" s="33" t="str">
        <f aca="false">IF(AND(J27=0,K27="Alto"),"⚠ Cuello de botella","")</f>
        <v/>
      </c>
      <c r="Q27" s="35" t="s">
        <v>146</v>
      </c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</row>
    <row r="28" customFormat="false" ht="25.5" hidden="false" customHeight="true" outlineLevel="0" collapsed="false">
      <c r="A28" s="52" t="s">
        <v>147</v>
      </c>
      <c r="B28" s="53" t="s">
        <v>143</v>
      </c>
      <c r="C28" s="54" t="s">
        <v>148</v>
      </c>
      <c r="D28" s="55" t="s">
        <v>100</v>
      </c>
      <c r="E28" s="53" t="n">
        <v>3</v>
      </c>
      <c r="F28" s="56" t="n">
        <f aca="false">WORKDAY(G27,1,Festivos!$A$3:$A$21)</f>
        <v>46337</v>
      </c>
      <c r="G28" s="56" t="n">
        <f aca="false">WORKDAY(F28,E28-1,Festivos!$A$3:$A$21)</f>
        <v>46339</v>
      </c>
      <c r="H28" s="32"/>
      <c r="I28" s="32"/>
      <c r="J28" s="53" t="n">
        <v>0</v>
      </c>
      <c r="K28" s="33" t="s">
        <v>65</v>
      </c>
      <c r="L28" s="33" t="str">
        <f aca="false">IF(I28&lt;&gt;"","Completado",IF(H28&lt;&gt;"","En curso","Pendiente"))</f>
        <v>Pendiente</v>
      </c>
      <c r="M28" s="34" t="n">
        <f aca="true">IF(L28="Completado",1,IF(L28="Pendiente",0,IF(F28=G28,IF(TODAY()&gt;=G28,1,0),MIN(MAX((TODAY()-F28)/(G28-F28),0),0.95))))</f>
        <v>0</v>
      </c>
      <c r="N28" s="35" t="str">
        <f aca="true">IF(L28="Completado","",IF(AND(L28="Pendiente",TODAY()&gt;F28),"🔴 No iniciada (debía empezar "&amp;TEXT(F28,"DD/MM")&amp;")",IF(TODAY()&gt;G28,"🔴 Fuera de tiempo (debía entregarse "&amp;TEXT(G28,"DD/MM")&amp;")",IF(TODAY()&gt;=WORKDAY(G28,-2,Festivos!$A$3:$A$21),"🟡 Por vencer",""))))</f>
        <v/>
      </c>
      <c r="O28" s="35" t="str">
        <f aca="false">IF(I28&lt;&gt;"",IF(I28&lt;=G28,IF(I28=G28,"✅ A tiempo","✅ Adelantado "&amp;(NETWORKDAYS(I28,G28,Festivos!$A$3:$A$21)-1)&amp;"d"),"🔴 Retrasado "&amp;(NETWORKDAYS(G28,I28,Festivos!$A$3:$A$21)-1)&amp;"d"),IF(H28&lt;&gt;"","🟡 En desarrollo","⚪ Sin iniciar"))</f>
        <v>⚪ Sin iniciar</v>
      </c>
      <c r="P28" s="33" t="str">
        <f aca="false">IF(AND(J28=0,K28="Alto"),"⚠ Cuello de botella","")</f>
        <v/>
      </c>
      <c r="Q28" s="35" t="s">
        <v>149</v>
      </c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</row>
    <row r="29" customFormat="false" ht="25.5" hidden="false" customHeight="true" outlineLevel="0" collapsed="false">
      <c r="A29" s="52" t="s">
        <v>150</v>
      </c>
      <c r="B29" s="53" t="s">
        <v>143</v>
      </c>
      <c r="C29" s="54" t="s">
        <v>151</v>
      </c>
      <c r="D29" s="55" t="s">
        <v>152</v>
      </c>
      <c r="E29" s="53" t="n">
        <v>2</v>
      </c>
      <c r="F29" s="56" t="n">
        <f aca="false">WORKDAY(G28,1,Festivos!$A$3:$A$21)</f>
        <v>46343</v>
      </c>
      <c r="G29" s="56" t="n">
        <f aca="false">WORKDAY(F29,E29-1,Festivos!$A$3:$A$21)</f>
        <v>46344</v>
      </c>
      <c r="H29" s="32"/>
      <c r="I29" s="32"/>
      <c r="J29" s="53" t="n">
        <v>0</v>
      </c>
      <c r="K29" s="33" t="s">
        <v>60</v>
      </c>
      <c r="L29" s="33" t="str">
        <f aca="false">IF(I29&lt;&gt;"","Completado",IF(H29&lt;&gt;"","En curso","Pendiente"))</f>
        <v>Pendiente</v>
      </c>
      <c r="M29" s="34" t="n">
        <f aca="true">IF(L29="Completado",1,IF(L29="Pendiente",0,IF(F29=G29,IF(TODAY()&gt;=G29,1,0),MIN(MAX((TODAY()-F29)/(G29-F29),0),0.95))))</f>
        <v>0</v>
      </c>
      <c r="N29" s="35" t="str">
        <f aca="true">IF(L29="Completado","",IF(AND(L29="Pendiente",TODAY()&gt;F29),"🔴 No iniciada (debía empezar "&amp;TEXT(F29,"DD/MM")&amp;")",IF(TODAY()&gt;G29,"🔴 Fuera de tiempo (debía entregarse "&amp;TEXT(G29,"DD/MM")&amp;")",IF(TODAY()&gt;=WORKDAY(G29,-2,Festivos!$A$3:$A$21),"🟡 Por vencer",""))))</f>
        <v/>
      </c>
      <c r="O29" s="35" t="str">
        <f aca="false">IF(I29&lt;&gt;"",IF(I29&lt;=G29,IF(I29=G29,"✅ A tiempo","✅ Adelantado "&amp;(NETWORKDAYS(I29,G29,Festivos!$A$3:$A$21)-1)&amp;"d"),"🔴 Retrasado "&amp;(NETWORKDAYS(G29,I29,Festivos!$A$3:$A$21)-1)&amp;"d"),IF(H29&lt;&gt;"","🟡 En desarrollo","⚪ Sin iniciar"))</f>
        <v>⚪ Sin iniciar</v>
      </c>
      <c r="P29" s="33" t="str">
        <f aca="false">IF(AND(J29=0,K29="Alto"),"⚠ Cuello de botella","")</f>
        <v>⚠ Cuello de botella</v>
      </c>
      <c r="Q29" s="35" t="s">
        <v>153</v>
      </c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</row>
    <row r="30" customFormat="false" ht="25.5" hidden="false" customHeight="true" outlineLevel="0" collapsed="false">
      <c r="A30" s="52" t="s">
        <v>154</v>
      </c>
      <c r="B30" s="53" t="s">
        <v>143</v>
      </c>
      <c r="C30" s="54" t="s">
        <v>155</v>
      </c>
      <c r="D30" s="55" t="s">
        <v>156</v>
      </c>
      <c r="E30" s="53" t="n">
        <v>2</v>
      </c>
      <c r="F30" s="56" t="n">
        <f aca="false">WORKDAY(G29,1,Festivos!$A$3:$A$21)</f>
        <v>46345</v>
      </c>
      <c r="G30" s="56" t="n">
        <f aca="false">WORKDAY(F30,E30-1,Festivos!$A$3:$A$21)</f>
        <v>46346</v>
      </c>
      <c r="H30" s="32"/>
      <c r="I30" s="32"/>
      <c r="J30" s="53" t="n">
        <v>0</v>
      </c>
      <c r="K30" s="33" t="s">
        <v>65</v>
      </c>
      <c r="L30" s="33" t="str">
        <f aca="false">IF(I30&lt;&gt;"","Completado",IF(H30&lt;&gt;"","En curso","Pendiente"))</f>
        <v>Pendiente</v>
      </c>
      <c r="M30" s="34" t="n">
        <f aca="true">IF(L30="Completado",1,IF(L30="Pendiente",0,IF(F30=G30,IF(TODAY()&gt;=G30,1,0),MIN(MAX((TODAY()-F30)/(G30-F30),0),0.95))))</f>
        <v>0</v>
      </c>
      <c r="N30" s="35" t="str">
        <f aca="true">IF(L30="Completado","",IF(AND(L30="Pendiente",TODAY()&gt;F30),"🔴 No iniciada (debía empezar "&amp;TEXT(F30,"DD/MM")&amp;")",IF(TODAY()&gt;G30,"🔴 Fuera de tiempo (debía entregarse "&amp;TEXT(G30,"DD/MM")&amp;")",IF(TODAY()&gt;=WORKDAY(G30,-2,Festivos!$A$3:$A$21),"🟡 Por vencer",""))))</f>
        <v/>
      </c>
      <c r="O30" s="35" t="str">
        <f aca="false">IF(I30&lt;&gt;"",IF(I30&lt;=G30,IF(I30=G30,"✅ A tiempo","✅ Adelantado "&amp;(NETWORKDAYS(I30,G30,Festivos!$A$3:$A$21)-1)&amp;"d"),"🔴 Retrasado "&amp;(NETWORKDAYS(G30,I30,Festivos!$A$3:$A$21)-1)&amp;"d"),IF(H30&lt;&gt;"","🟡 En desarrollo","⚪ Sin iniciar"))</f>
        <v>⚪ Sin iniciar</v>
      </c>
      <c r="P30" s="33" t="str">
        <f aca="false">IF(AND(J30=0,K30="Alto"),"⚠ Cuello de botella","")</f>
        <v/>
      </c>
      <c r="Q30" s="35" t="s">
        <v>157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</row>
    <row r="31" customFormat="false" ht="25.5" hidden="false" customHeight="true" outlineLevel="0" collapsed="false">
      <c r="A31" s="52" t="s">
        <v>158</v>
      </c>
      <c r="B31" s="53" t="s">
        <v>143</v>
      </c>
      <c r="C31" s="54" t="s">
        <v>159</v>
      </c>
      <c r="D31" s="55" t="s">
        <v>156</v>
      </c>
      <c r="E31" s="53" t="n">
        <v>1</v>
      </c>
      <c r="F31" s="56" t="n">
        <f aca="false">WORKDAY(G30,1,Festivos!$A$3:$A$21)</f>
        <v>46349</v>
      </c>
      <c r="G31" s="56" t="n">
        <f aca="false">WORKDAY(F31,E31-1,Festivos!$A$3:$A$21)</f>
        <v>46349</v>
      </c>
      <c r="H31" s="32"/>
      <c r="I31" s="32"/>
      <c r="J31" s="53" t="n">
        <v>0</v>
      </c>
      <c r="K31" s="33" t="s">
        <v>70</v>
      </c>
      <c r="L31" s="33" t="str">
        <f aca="false">IF(I31&lt;&gt;"","Completado",IF(H31&lt;&gt;"","En curso","Pendiente"))</f>
        <v>Pendiente</v>
      </c>
      <c r="M31" s="34" t="n">
        <f aca="true">IF(L31="Completado",1,IF(L31="Pendiente",0,IF(F31=G31,IF(TODAY()&gt;=G31,1,0),MIN(MAX((TODAY()-F31)/(G31-F31),0),0.95))))</f>
        <v>0</v>
      </c>
      <c r="N31" s="35" t="str">
        <f aca="true">IF(L31="Completado","",IF(AND(L31="Pendiente",TODAY()&gt;F31),"🔴 No iniciada (debía empezar "&amp;TEXT(F31,"DD/MM")&amp;")",IF(TODAY()&gt;G31,"🔴 Fuera de tiempo (debía entregarse "&amp;TEXT(G31,"DD/MM")&amp;")",IF(TODAY()&gt;=WORKDAY(G31,-2,Festivos!$A$3:$A$21),"🟡 Por vencer",""))))</f>
        <v/>
      </c>
      <c r="O31" s="35" t="str">
        <f aca="false">IF(I31&lt;&gt;"",IF(I31&lt;=G31,IF(I31=G31,"✅ A tiempo","✅ Adelantado "&amp;(NETWORKDAYS(I31,G31,Festivos!$A$3:$A$21)-1)&amp;"d"),"🔴 Retrasado "&amp;(NETWORKDAYS(G31,I31,Festivos!$A$3:$A$21)-1)&amp;"d"),IF(H31&lt;&gt;"","🟡 En desarrollo","⚪ Sin iniciar"))</f>
        <v>⚪ Sin iniciar</v>
      </c>
      <c r="P31" s="33" t="str">
        <f aca="false">IF(AND(J31=0,K31="Alto"),"⚠ Cuello de botella","")</f>
        <v/>
      </c>
      <c r="Q31" s="35" t="s">
        <v>160</v>
      </c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</row>
    <row r="32" customFormat="false" ht="21.75" hidden="false" customHeight="true" outlineLevel="0" collapsed="false">
      <c r="A32" s="37" t="s">
        <v>161</v>
      </c>
      <c r="B32" s="37" t="s">
        <v>143</v>
      </c>
      <c r="C32" s="38" t="s">
        <v>162</v>
      </c>
      <c r="D32" s="38" t="s">
        <v>95</v>
      </c>
      <c r="E32" s="37" t="n">
        <f aca="false">NETWORKDAYS(F32,G32,Festivos!$A$3:$A$21)</f>
        <v>12</v>
      </c>
      <c r="F32" s="39" t="n">
        <f aca="false">MIN(F27:F31)</f>
        <v>46331</v>
      </c>
      <c r="G32" s="39" t="n">
        <f aca="false">G31</f>
        <v>46349</v>
      </c>
      <c r="H32" s="39"/>
      <c r="I32" s="39"/>
      <c r="J32" s="37" t="n">
        <v>0</v>
      </c>
      <c r="K32" s="37" t="str">
        <f aca="false">IF(COUNTIF(K27:K31,"Alto")&gt;0,"Alto",IF(COUNTIF(K27:K31,"Medio")&gt;0,"Medio","Bajo"))</f>
        <v>Alto</v>
      </c>
      <c r="L32" s="40" t="str">
        <f aca="false">IF(COUNTIF(L27:L31,"Completado")=5,"Completado",IF(COUNTIF(L27:L31,"Bloqueado")&gt;0,"Bloqueado",IF(COUNTIF(L27:L31,"En curso")&gt;0,"En curso","Pendiente")))</f>
        <v>Pendiente</v>
      </c>
      <c r="M32" s="41" t="n">
        <f aca="false">AVERAGE(M27:M31)</f>
        <v>0</v>
      </c>
      <c r="N32" s="38" t="str">
        <f aca="false">IF(COUNTIF(N27:N31,"🔴*")&gt;0,"🔴 "&amp;COUNTIF(N27:N31,"🔴*")&amp;" tarea(s) atrasada(s)",IF(COUNTIF(N27:N31,"🟡*")&gt;0,"🟡 "&amp;COUNTIF(N27:N31,"🟡*")&amp;" por vencer",""))</f>
        <v/>
      </c>
      <c r="O32" s="38" t="str">
        <f aca="false">IF(I32&lt;&gt;"",IF(I32&lt;=G32,IF(I32=G32,"✅ A tiempo","✅ Adelantado "&amp;(NETWORKDAYS(I32,G32,Festivos!$A$3:$A$21)-1)&amp;"d"),"🔴 Retrasado "&amp;(NETWORKDAYS(G32,I32,Festivos!$A$3:$A$21)-1)&amp;"d"),IF(H32&lt;&gt;"","🟡 En desarrollo","⚪ Sin iniciar"))</f>
        <v>⚪ Sin iniciar</v>
      </c>
      <c r="P32" s="37" t="str">
        <f aca="false">IF(COUNTIF(P27:P31,"*Cuello*")&gt;0,"⚠ "&amp;COUNTIF(P27:P31,"*Cuello*")&amp;" cuello(s) de botella","")</f>
        <v>⚠ 1 cuello(s) de botella</v>
      </c>
      <c r="Q32" s="38" t="s">
        <v>163</v>
      </c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</row>
    <row r="33" customFormat="false" ht="24" hidden="false" customHeight="true" outlineLevel="0" collapsed="false">
      <c r="A33" s="57" t="s">
        <v>164</v>
      </c>
      <c r="B33" s="57" t="s">
        <v>165</v>
      </c>
      <c r="C33" s="58" t="s">
        <v>166</v>
      </c>
      <c r="D33" s="58" t="s">
        <v>95</v>
      </c>
      <c r="E33" s="57" t="n">
        <f aca="false">NETWORKDAYS(F33,G33,Festivos!$A$3:$A$21)</f>
        <v>60</v>
      </c>
      <c r="F33" s="59" t="n">
        <f aca="false">MIN(F4:F32)</f>
        <v>46261</v>
      </c>
      <c r="G33" s="59" t="n">
        <f aca="false">MAX(G4:G32)</f>
        <v>46349</v>
      </c>
      <c r="H33" s="57"/>
      <c r="I33" s="57"/>
      <c r="J33" s="57"/>
      <c r="K33" s="57" t="str">
        <f aca="false">IF(COUNTIFS(K4:K32,"Alto",A4:A32,"&lt;&gt;H1",A4:A32,"&lt;&gt;H2",A4:A32,"&lt;&gt;H3")&gt;0,"Alto",IF(COUNTIFS(K4:K32,"Medio",A4:A32,"&lt;&gt;H1",A4:A32,"&lt;&gt;H2",A4:A32,"&lt;&gt;H3")&gt;0,"Medio","Bajo"))</f>
        <v>Alto</v>
      </c>
      <c r="L33" s="60" t="str">
        <f aca="false">IF(COUNTIFS(L4:L32,"Completado",A4:A32,"&lt;&gt;H1",A4:A32,"&lt;&gt;H2",A4:A32,"&lt;&gt;H3")=26,"Completado",IF(COUNTIFS(L4:L32,"Bloqueado",A4:A32,"&lt;&gt;H1",A4:A32,"&lt;&gt;H2",A4:A32,"&lt;&gt;H3")&gt;0,"Bloqueado",IF(COUNTIFS(L4:L32,"En curso",A4:A32,"&lt;&gt;H1",A4:A32,"&lt;&gt;H2",A4:A32,"&lt;&gt;H3")&gt;0,"En curso","Pendiente")))</f>
        <v>En curso</v>
      </c>
      <c r="M33" s="61" t="n">
        <f aca="false">AVERAGEIFS(M4:M32,A4:A32,"&lt;&gt;H1",A4:A32,"&lt;&gt;H2",A4:A32,"&lt;&gt;H3")</f>
        <v>0.0384615384615385</v>
      </c>
      <c r="N33" s="57" t="str">
        <f aca="false">IF(COUNTIFS(N4:N32,"🔴*",A4:A32,"&lt;&gt;H1",A4:A32,"&lt;&gt;H2",A4:A32,"&lt;&gt;H3")&gt;0,"🔴 "&amp;COUNTIFS(N4:N32,"🔴*",A4:A32,"&lt;&gt;H1",A4:A32,"&lt;&gt;H2",A4:A32,"&lt;&gt;H3")&amp;" tarea(s) atrasada(s)",IF(COUNTIFS(N4:N32,"🟡*",A4:A32,"&lt;&gt;H1",A4:A32,"&lt;&gt;H2",A4:A32,"&lt;&gt;H3")&gt;0,"🟡 "&amp;COUNTIFS(N4:N32,"🟡*",A4:A32,"&lt;&gt;H1",A4:A32,"&lt;&gt;H2",A4:A32,"&lt;&gt;H3")&amp;" por vencer",""))</f>
        <v/>
      </c>
      <c r="O33" s="57"/>
      <c r="P33" s="57" t="str">
        <f aca="false">IF(COUNTIFS(P4:P32,"*Cuello*",A4:A32,"&lt;&gt;H1",A4:A32,"&lt;&gt;H2",A4:A32,"&lt;&gt;H3")&gt;0,"⚠ "&amp;COUNTIFS(P4:P32,"*Cuello*",A4:A32,"&lt;&gt;H1",A4:A32,"&lt;&gt;H2",A4:A32,"&lt;&gt;H3")&amp;" cuello(s) de botella","")</f>
        <v>⚠ 4 cuello(s) de botella</v>
      </c>
      <c r="Q33" s="58" t="s">
        <v>167</v>
      </c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</row>
    <row r="34" customFormat="false" ht="15.75" hidden="false" customHeight="true" outlineLevel="0" collapsed="false"/>
    <row r="35" customFormat="false" ht="27.75" hidden="false" customHeight="true" outlineLevel="0" collapsed="false">
      <c r="A35" s="62" t="s">
        <v>168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</row>
    <row r="36" customFormat="false" ht="15.75" hidden="false" customHeight="true" outlineLevel="0" collapsed="false">
      <c r="A36" s="63" t="s">
        <v>169</v>
      </c>
      <c r="B36" s="63"/>
      <c r="C36" s="63"/>
      <c r="D36" s="63"/>
      <c r="E36" s="63"/>
      <c r="F36" s="63"/>
    </row>
    <row r="37" customFormat="false" ht="15.75" hidden="false" customHeight="true" outlineLevel="0" collapsed="false">
      <c r="A37" s="64" t="s">
        <v>170</v>
      </c>
      <c r="B37" s="65" t="n">
        <f aca="false">WORKDAY(F13,ROUND(AVERAGE(M4:M12)*E13,0)-1,Festivos!$A$3:$A$21)</f>
        <v>46262</v>
      </c>
    </row>
    <row r="38" customFormat="false" ht="15.75" hidden="false" customHeight="true" outlineLevel="0" collapsed="false">
      <c r="A38" s="64" t="s">
        <v>171</v>
      </c>
      <c r="B38" s="65" t="n">
        <f aca="false">WORKDAY(F23,ROUND(AVERAGE(M14:M22)*E23,0)-1,Festivos!$A$3:$A$21)</f>
        <v>46280</v>
      </c>
    </row>
    <row r="39" customFormat="false" ht="15.75" hidden="false" customHeight="true" outlineLevel="0" collapsed="false">
      <c r="A39" s="64" t="s">
        <v>172</v>
      </c>
      <c r="B39" s="65" t="n">
        <f aca="false">WORKDAY(F32,ROUND(AVERAGE(M27:M31)*E32,0)-1,Festivos!$A$3:$A$21)</f>
        <v>46330</v>
      </c>
    </row>
    <row r="40" customFormat="false" ht="15.75" hidden="false" customHeight="true" outlineLevel="0" collapsed="false">
      <c r="A40" s="64" t="s">
        <v>173</v>
      </c>
      <c r="B40" s="65" t="n">
        <f aca="false">WORKDAY(F33,ROUND(AVERAGE(M4:M32)*E33,0)-1,Festivos!$A$3:$A$21)</f>
        <v>46262</v>
      </c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autoFilter ref="A3:Q32"/>
  <mergeCells count="9">
    <mergeCell ref="A1:Q1"/>
    <mergeCell ref="R1:CS1"/>
    <mergeCell ref="R2:T2"/>
    <mergeCell ref="U2:AP2"/>
    <mergeCell ref="AQ2:BK2"/>
    <mergeCell ref="BL2:CD2"/>
    <mergeCell ref="CE2:CS2"/>
    <mergeCell ref="A35:CS35"/>
    <mergeCell ref="A36:F36"/>
  </mergeCells>
  <conditionalFormatting sqref="K4:K33">
    <cfRule type="cellIs" priority="2" operator="equal" aboveAverage="0" equalAverage="0" bottom="0" percent="0" rank="0" text="" dxfId="21">
      <formula>"Alto"</formula>
    </cfRule>
    <cfRule type="cellIs" priority="3" operator="equal" aboveAverage="0" equalAverage="0" bottom="0" percent="0" rank="0" text="" dxfId="22">
      <formula>"Medio"</formula>
    </cfRule>
    <cfRule type="cellIs" priority="4" operator="equal" aboveAverage="0" equalAverage="0" bottom="0" percent="0" rank="0" text="" dxfId="23">
      <formula>"Bajo"</formula>
    </cfRule>
  </conditionalFormatting>
  <conditionalFormatting sqref="L4:L33">
    <cfRule type="cellIs" priority="5" operator="equal" aboveAverage="0" equalAverage="0" bottom="0" percent="0" rank="0" text="" dxfId="24">
      <formula>"Pendiente"</formula>
    </cfRule>
    <cfRule type="cellIs" priority="6" operator="equal" aboveAverage="0" equalAverage="0" bottom="0" percent="0" rank="0" text="" dxfId="25">
      <formula>"En curso"</formula>
    </cfRule>
    <cfRule type="cellIs" priority="7" operator="equal" aboveAverage="0" equalAverage="0" bottom="0" percent="0" rank="0" text="" dxfId="26">
      <formula>"Completado"</formula>
    </cfRule>
    <cfRule type="cellIs" priority="8" operator="equal" aboveAverage="0" equalAverage="0" bottom="0" percent="0" rank="0" text="" dxfId="27">
      <formula>"Bloqueado"</formula>
    </cfRule>
  </conditionalFormatting>
  <conditionalFormatting sqref="N4:N33">
    <cfRule type="expression" priority="9" aboveAverage="0" equalAverage="0" bottom="0" percent="0" rank="0" text="" dxfId="21">
      <formula>ISNUMBER(SEARCH("🔴",N4))</formula>
    </cfRule>
    <cfRule type="expression" priority="10" aboveAverage="0" equalAverage="0" bottom="0" percent="0" rank="0" text="" dxfId="22">
      <formula>ISNUMBER(SEARCH("🟡",N4))</formula>
    </cfRule>
  </conditionalFormatting>
  <conditionalFormatting sqref="O4:O32">
    <cfRule type="expression" priority="11" aboveAverage="0" equalAverage="0" bottom="0" percent="0" rank="0" text="" dxfId="21">
      <formula>ISNUMBER(SEARCH("Retrasado",O4))</formula>
    </cfRule>
    <cfRule type="expression" priority="12" aboveAverage="0" equalAverage="0" bottom="0" percent="0" rank="0" text="" dxfId="22">
      <formula>ISNUMBER(SEARCH("En desarrollo",O4))</formula>
    </cfRule>
    <cfRule type="expression" priority="13" aboveAverage="0" equalAverage="0" bottom="0" percent="0" rank="0" text="" dxfId="23">
      <formula>ISNUMBER(SEARCH("A tiempo",O4))</formula>
    </cfRule>
    <cfRule type="expression" priority="14" aboveAverage="0" equalAverage="0" bottom="0" percent="0" rank="0" text="" dxfId="23">
      <formula>ISNUMBER(SEARCH("Adelantado",O4))</formula>
    </cfRule>
  </conditionalFormatting>
  <conditionalFormatting sqref="P4:P33">
    <cfRule type="expression" priority="15" aboveAverage="0" equalAverage="0" bottom="0" percent="0" rank="0" text="" dxfId="21">
      <formula>P4&lt;&gt;""</formula>
    </cfRule>
  </conditionalFormatting>
  <conditionalFormatting sqref="R4:CS32">
    <cfRule type="expression" priority="16" aboveAverage="0" equalAverage="0" bottom="0" percent="0" rank="0" text="" dxfId="28">
      <formula>AND(R$3&gt;=$F4,R$3&lt;=$G4,LEFT($A4,1)&lt;&gt;"H",$L4="Completado")</formula>
    </cfRule>
    <cfRule type="expression" priority="17" aboveAverage="0" equalAverage="0" bottom="0" percent="0" rank="0" text="" dxfId="29">
      <formula>AND(R$3&gt;=$F4,R$3&lt;=$G4,LEFT($A4,1)&lt;&gt;"H",ISNUMBER(SEARCH("🔴",$N4)))</formula>
    </cfRule>
    <cfRule type="expression" priority="18" aboveAverage="0" equalAverage="0" bottom="0" percent="0" rank="0" text="" dxfId="30">
      <formula>AND(R$3&gt;=$F4,R$3&lt;=$G4,LEFT($A4,1)&lt;&gt;"H",ISNUMBER(SEARCH("🟡",$N4)))</formula>
    </cfRule>
    <cfRule type="expression" priority="19" aboveAverage="0" equalAverage="0" bottom="0" percent="0" rank="0" text="" dxfId="31">
      <formula>AND(R$3&gt;=$F4,R$3&lt;=$G4,LEFT($A4,1)&lt;&gt;"H")</formula>
    </cfRule>
  </conditionalFormatting>
  <conditionalFormatting sqref="R13:CS13">
    <cfRule type="expression" priority="20" aboveAverage="0" equalAverage="0" bottom="0" percent="0" rank="0" text="" dxfId="28">
      <formula>AND(R$3&gt;=$F13,R$3&lt;=$G13,R$3&lt;=$B$37)</formula>
    </cfRule>
    <cfRule type="expression" priority="21" aboveAverage="0" equalAverage="0" bottom="0" percent="0" rank="0" text="" dxfId="32">
      <formula>AND(R$3&gt;=$F13,R$3&lt;=$G13,R$3&gt;$B$37)</formula>
    </cfRule>
  </conditionalFormatting>
  <conditionalFormatting sqref="R23:CS23">
    <cfRule type="expression" priority="22" aboveAverage="0" equalAverage="0" bottom="0" percent="0" rank="0" text="" dxfId="28">
      <formula>AND(R$3&gt;=$F23,R$3&lt;=$G23,R$3&lt;=$B$38)</formula>
    </cfRule>
    <cfRule type="expression" priority="23" aboveAverage="0" equalAverage="0" bottom="0" percent="0" rank="0" text="" dxfId="32">
      <formula>AND(R$3&gt;=$F23,R$3&lt;=$G23,R$3&gt;$B$38)</formula>
    </cfRule>
  </conditionalFormatting>
  <conditionalFormatting sqref="R32:CS32">
    <cfRule type="expression" priority="24" aboveAverage="0" equalAverage="0" bottom="0" percent="0" rank="0" text="" dxfId="28">
      <formula>AND(R$3&gt;=$F32,R$3&lt;=$G32,R$3&lt;=$B$39)</formula>
    </cfRule>
    <cfRule type="expression" priority="25" aboveAverage="0" equalAverage="0" bottom="0" percent="0" rank="0" text="" dxfId="32">
      <formula>AND(R$3&gt;=$F32,R$3&lt;=$G32,R$3&gt;$B$39)</formula>
    </cfRule>
  </conditionalFormatting>
  <conditionalFormatting sqref="R33:CS33">
    <cfRule type="expression" priority="26" aboveAverage="0" equalAverage="0" bottom="0" percent="0" rank="0" text="" dxfId="28">
      <formula>AND(R$3&gt;=$F33,R$3&lt;=$G33,R$3&lt;=$B$40)</formula>
    </cfRule>
    <cfRule type="expression" priority="27" aboveAverage="0" equalAverage="0" bottom="0" percent="0" rank="0" text="" dxfId="32">
      <formula>AND(R$3&gt;=$F33,R$3&lt;=$G33,R$3&gt;$B$40)</formula>
    </cfRule>
  </conditionalFormatting>
  <conditionalFormatting sqref="R2:CS3">
    <cfRule type="expression" priority="28" aboveAverage="0" equalAverage="0" bottom="0" percent="0" rank="0" text="" dxfId="33">
      <formula>R$3=TODAY()</formula>
    </cfRule>
  </conditionalFormatting>
  <dataValidations count="1">
    <dataValidation allowBlank="true" errorStyle="stop" operator="greaterThanOrEqual" prompt="Fecha inválida - Ingresa una fecha válida (usa el calendario que aparece al hacer clic en la celda)." showDropDown="false" showErrorMessage="true" showInputMessage="true" sqref="H4:I32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2E"/>
    <pageSetUpPr fitToPage="false"/>
  </sheetPr>
  <dimension ref="B2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.71"/>
    <col collapsed="false" customWidth="true" hidden="false" outlineLevel="0" max="3" min="3" style="1" width="17.86"/>
    <col collapsed="false" customWidth="true" hidden="false" outlineLevel="0" max="4" min="4" style="1" width="20"/>
    <col collapsed="false" customWidth="true" hidden="false" outlineLevel="0" max="5" min="5" style="1" width="11.85"/>
    <col collapsed="false" customWidth="true" hidden="false" outlineLevel="0" max="7" min="6" style="1" width="22"/>
    <col collapsed="false" customWidth="true" hidden="false" outlineLevel="0" max="26" min="8" style="1" width="8.71"/>
  </cols>
  <sheetData>
    <row r="2" customFormat="false" ht="37.5" hidden="false" customHeight="true" outlineLevel="0" collapsed="false">
      <c r="B2" s="66" t="s">
        <v>174</v>
      </c>
      <c r="C2" s="66"/>
      <c r="D2" s="66"/>
      <c r="E2" s="66"/>
      <c r="F2" s="66"/>
      <c r="G2" s="66"/>
    </row>
    <row r="3" customFormat="false" ht="18" hidden="false" customHeight="true" outlineLevel="0" collapsed="false">
      <c r="B3" s="67" t="s">
        <v>175</v>
      </c>
      <c r="C3" s="67"/>
      <c r="D3" s="67"/>
      <c r="E3" s="67"/>
      <c r="F3" s="67"/>
      <c r="G3" s="67"/>
    </row>
    <row r="5" customFormat="false" ht="21.75" hidden="false" customHeight="true" outlineLevel="0" collapsed="false">
      <c r="B5" s="68" t="s">
        <v>176</v>
      </c>
      <c r="C5" s="68"/>
      <c r="D5" s="69" t="s">
        <v>177</v>
      </c>
      <c r="E5" s="69"/>
      <c r="F5" s="70" t="s">
        <v>178</v>
      </c>
      <c r="G5" s="70"/>
    </row>
    <row r="6" customFormat="false" ht="15" hidden="false" customHeight="true" outlineLevel="0" collapsed="false">
      <c r="B6" s="71" t="n">
        <f aca="false">Config!$B$3</f>
        <v>46261</v>
      </c>
      <c r="C6" s="71"/>
      <c r="D6" s="72" t="n">
        <f aca="false">Cronograma!G32</f>
        <v>46349</v>
      </c>
      <c r="E6" s="72"/>
      <c r="F6" s="73" t="n">
        <f aca="false">WORKDAY(Cronograma!G32,Config!$B$5,Festivos!$A$3:$A$21)</f>
        <v>46363</v>
      </c>
      <c r="G6" s="73"/>
    </row>
    <row r="7" customFormat="false" ht="15" hidden="false" customHeight="true" outlineLevel="0" collapsed="false">
      <c r="B7" s="71"/>
      <c r="C7" s="71"/>
      <c r="D7" s="72"/>
      <c r="E7" s="72"/>
      <c r="F7" s="73"/>
      <c r="G7" s="73"/>
    </row>
    <row r="9" customFormat="false" ht="15" hidden="false" customHeight="true" outlineLevel="0" collapsed="false">
      <c r="B9" s="74" t="s">
        <v>179</v>
      </c>
      <c r="C9" s="74"/>
      <c r="D9" s="74" t="s">
        <v>180</v>
      </c>
      <c r="E9" s="74"/>
      <c r="F9" s="74" t="s">
        <v>181</v>
      </c>
      <c r="G9" s="74"/>
    </row>
    <row r="10" customFormat="false" ht="15" hidden="false" customHeight="true" outlineLevel="0" collapsed="false">
      <c r="B10" s="75" t="n">
        <f aca="false">NETWORKDAYS(Config!$B$3,Cronograma!G32,Festivos!$A$3:$A$21)</f>
        <v>60</v>
      </c>
      <c r="C10" s="75"/>
      <c r="D10" s="76" t="n">
        <f aca="false">(Cronograma!G32-Config!$B$3)/7</f>
        <v>12.5714285714286</v>
      </c>
      <c r="E10" s="76"/>
      <c r="F10" s="75" t="n">
        <f aca="false">COUNTIFS(Festivos!$A$3:$A$21,"&gt;="&amp;Config!$B$3,Festivos!$A$3:$A$21,"&lt;="&amp;Cronograma!G32)</f>
        <v>3</v>
      </c>
      <c r="G10" s="75"/>
    </row>
    <row r="11" customFormat="false" ht="15" hidden="false" customHeight="true" outlineLevel="0" collapsed="false">
      <c r="B11" s="75"/>
      <c r="C11" s="75"/>
      <c r="D11" s="76"/>
      <c r="E11" s="76"/>
      <c r="F11" s="75"/>
      <c r="G11" s="75"/>
    </row>
    <row r="13" customFormat="false" ht="15" hidden="false" customHeight="true" outlineLevel="0" collapsed="false">
      <c r="B13" s="77" t="s">
        <v>182</v>
      </c>
      <c r="C13" s="77"/>
      <c r="D13" s="78" t="s">
        <v>183</v>
      </c>
      <c r="E13" s="78"/>
      <c r="F13" s="79" t="s">
        <v>184</v>
      </c>
      <c r="G13" s="79"/>
    </row>
    <row r="14" customFormat="false" ht="15" hidden="false" customHeight="true" outlineLevel="0" collapsed="false">
      <c r="B14" s="80" t="n">
        <f aca="false">COUNTIF(Cronograma!P4:P32,"*Cuello*")</f>
        <v>7</v>
      </c>
      <c r="C14" s="80"/>
      <c r="D14" s="81" t="n">
        <f aca="false">COUNTIF(Cronograma!N4:N32,"🔴*")+COUNTIF(Cronograma!N4:N32,"🟡*")</f>
        <v>0</v>
      </c>
      <c r="E14" s="81"/>
      <c r="F14" s="82" t="str">
        <f aca="false">COUNTIF(Cronograma!L4:L32,"Completado")&amp;"/"&amp;29</f>
        <v>1/29</v>
      </c>
      <c r="G14" s="82"/>
    </row>
    <row r="15" customFormat="false" ht="15" hidden="false" customHeight="true" outlineLevel="0" collapsed="false">
      <c r="B15" s="80"/>
      <c r="C15" s="80"/>
      <c r="D15" s="81"/>
      <c r="E15" s="81"/>
      <c r="F15" s="82"/>
      <c r="G15" s="82"/>
    </row>
    <row r="17" customFormat="false" ht="15" hidden="false" customHeight="true" outlineLevel="0" collapsed="false">
      <c r="B17" s="62" t="s">
        <v>185</v>
      </c>
      <c r="C17" s="62"/>
      <c r="D17" s="62"/>
      <c r="E17" s="62"/>
      <c r="F17" s="62"/>
      <c r="G17" s="62"/>
    </row>
    <row r="19" customFormat="false" ht="15.75" hidden="false" customHeight="true" outlineLevel="0" collapsed="false">
      <c r="B19" s="83" t="s">
        <v>186</v>
      </c>
      <c r="C19" s="83"/>
      <c r="D19" s="83"/>
      <c r="E19" s="83"/>
      <c r="F19" s="83"/>
      <c r="G19" s="83"/>
    </row>
    <row r="20" customFormat="false" ht="15" hidden="false" customHeight="true" outlineLevel="0" collapsed="false">
      <c r="B20" s="24" t="s">
        <v>40</v>
      </c>
      <c r="C20" s="24" t="s">
        <v>187</v>
      </c>
      <c r="D20" s="24" t="s">
        <v>188</v>
      </c>
      <c r="E20" s="24" t="s">
        <v>189</v>
      </c>
    </row>
    <row r="21" customFormat="false" ht="19.5" hidden="false" customHeight="true" outlineLevel="0" collapsed="false">
      <c r="B21" s="84" t="s">
        <v>57</v>
      </c>
      <c r="C21" s="85" t="n">
        <f aca="false">_xlfn.MINIFS(Cronograma!F4:F32,Cronograma!B4:B32,B21)</f>
        <v>46261</v>
      </c>
      <c r="D21" s="85" t="n">
        <f aca="false">_xlfn.MAXIFS(Cronograma!G4:G32,Cronograma!B4:B32,B21)</f>
        <v>46280</v>
      </c>
      <c r="E21" s="86" t="n">
        <f aca="false">NETWORKDAYS(C21,D21,Festivos!$A$3:$A$21)</f>
        <v>14</v>
      </c>
    </row>
    <row r="22" customFormat="false" ht="19.5" hidden="false" customHeight="true" outlineLevel="0" collapsed="false">
      <c r="B22" s="87" t="s">
        <v>98</v>
      </c>
      <c r="C22" s="88" t="n">
        <f aca="false">_xlfn.MINIFS(Cronograma!F4:F32,Cronograma!B4:B32,B22)</f>
        <v>46281</v>
      </c>
      <c r="D22" s="88" t="n">
        <f aca="false">_xlfn.MAXIFS(Cronograma!G4:G32,Cronograma!B4:B32,B22)</f>
        <v>46317</v>
      </c>
      <c r="E22" s="89" t="n">
        <f aca="false">NETWORKDAYS(C22,D22,Festivos!$A$3:$A$21)</f>
        <v>26</v>
      </c>
    </row>
    <row r="23" customFormat="false" ht="19.5" hidden="false" customHeight="true" outlineLevel="0" collapsed="false">
      <c r="B23" s="90" t="s">
        <v>132</v>
      </c>
      <c r="C23" s="91" t="n">
        <f aca="false">_xlfn.MINIFS(Cronograma!F4:F32,Cronograma!B4:B32,B23)</f>
        <v>46318</v>
      </c>
      <c r="D23" s="91" t="n">
        <f aca="false">_xlfn.MAXIFS(Cronograma!G4:G32,Cronograma!B4:B32,B23)</f>
        <v>46330</v>
      </c>
      <c r="E23" s="92" t="n">
        <f aca="false">NETWORKDAYS(C23,D23,Festivos!$A$3:$A$21)</f>
        <v>8</v>
      </c>
    </row>
    <row r="24" customFormat="false" ht="19.5" hidden="false" customHeight="true" outlineLevel="0" collapsed="false">
      <c r="B24" s="93" t="s">
        <v>143</v>
      </c>
      <c r="C24" s="94" t="n">
        <f aca="false">_xlfn.MINIFS(Cronograma!F4:F32,Cronograma!B4:B32,B24)</f>
        <v>46331</v>
      </c>
      <c r="D24" s="94" t="n">
        <f aca="false">_xlfn.MAXIFS(Cronograma!G4:G32,Cronograma!B4:B32,B24)</f>
        <v>46349</v>
      </c>
      <c r="E24" s="95" t="n">
        <f aca="false">NETWORKDAYS(C24,D24,Festivos!$A$3:$A$21)</f>
        <v>12</v>
      </c>
    </row>
    <row r="25" customFormat="false" ht="15.75" hidden="false" customHeight="true" outlineLevel="0" collapsed="false"/>
    <row r="26" customFormat="false" ht="15.75" hidden="false" customHeight="true" outlineLevel="0" collapsed="false">
      <c r="B26" s="62" t="s">
        <v>190</v>
      </c>
      <c r="C26" s="62"/>
      <c r="D26" s="62"/>
      <c r="E26" s="62"/>
      <c r="F26" s="62"/>
      <c r="G26" s="62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B2:G2"/>
    <mergeCell ref="B3:G3"/>
    <mergeCell ref="B5:C5"/>
    <mergeCell ref="D5:E5"/>
    <mergeCell ref="F5:G5"/>
    <mergeCell ref="B6:C7"/>
    <mergeCell ref="D6:E7"/>
    <mergeCell ref="F6:G7"/>
    <mergeCell ref="B9:C9"/>
    <mergeCell ref="D9:E9"/>
    <mergeCell ref="F9:G9"/>
    <mergeCell ref="B10:C11"/>
    <mergeCell ref="D10:E11"/>
    <mergeCell ref="F10:G11"/>
    <mergeCell ref="B13:C13"/>
    <mergeCell ref="D13:E13"/>
    <mergeCell ref="F13:G13"/>
    <mergeCell ref="B14:C15"/>
    <mergeCell ref="D14:E15"/>
    <mergeCell ref="F14:G15"/>
    <mergeCell ref="B17:G17"/>
    <mergeCell ref="B19:G19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2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26" min="5" style="1" width="8.71"/>
  </cols>
  <sheetData>
    <row r="1" customFormat="false" ht="25.5" hidden="false" customHeight="true" outlineLevel="0" collapsed="false">
      <c r="A1" s="96" t="s">
        <v>191</v>
      </c>
      <c r="B1" s="96"/>
      <c r="C1" s="96"/>
      <c r="D1" s="96"/>
    </row>
    <row r="2" customFormat="false" ht="23.25" hidden="false" customHeight="true" outlineLevel="0" collapsed="false">
      <c r="A2" s="24" t="s">
        <v>192</v>
      </c>
      <c r="B2" s="24" t="s">
        <v>193</v>
      </c>
      <c r="C2" s="24" t="s">
        <v>194</v>
      </c>
      <c r="D2" s="24" t="s">
        <v>195</v>
      </c>
    </row>
    <row r="3" customFormat="false" ht="30" hidden="false" customHeight="true" outlineLevel="0" collapsed="false">
      <c r="A3" s="97" t="s">
        <v>196</v>
      </c>
      <c r="B3" s="98" t="s">
        <v>197</v>
      </c>
      <c r="C3" s="99" t="n">
        <f aca="false">Cronograma!F6</f>
        <v>46273</v>
      </c>
      <c r="D3" s="98" t="s">
        <v>198</v>
      </c>
    </row>
    <row r="4" customFormat="false" ht="30" hidden="false" customHeight="true" outlineLevel="0" collapsed="false">
      <c r="A4" s="100" t="s">
        <v>199</v>
      </c>
      <c r="B4" s="101" t="s">
        <v>200</v>
      </c>
      <c r="C4" s="102" t="n">
        <f aca="false">Cronograma!F8</f>
        <v>46276</v>
      </c>
      <c r="D4" s="101" t="s">
        <v>198</v>
      </c>
    </row>
    <row r="5" customFormat="false" ht="30" hidden="false" customHeight="true" outlineLevel="0" collapsed="false">
      <c r="A5" s="103" t="s">
        <v>201</v>
      </c>
      <c r="B5" s="104" t="s">
        <v>202</v>
      </c>
      <c r="C5" s="105" t="n">
        <f aca="false">Cronograma!G13</f>
        <v>46280</v>
      </c>
      <c r="D5" s="104" t="s">
        <v>203</v>
      </c>
    </row>
    <row r="6" customFormat="false" ht="30" hidden="false" customHeight="true" outlineLevel="0" collapsed="false">
      <c r="A6" s="100" t="s">
        <v>204</v>
      </c>
      <c r="B6" s="101" t="s">
        <v>205</v>
      </c>
      <c r="C6" s="102" t="n">
        <f aca="false">Cronograma!G14</f>
        <v>46287</v>
      </c>
      <c r="D6" s="101" t="s">
        <v>206</v>
      </c>
    </row>
    <row r="7" customFormat="false" ht="30" hidden="false" customHeight="true" outlineLevel="0" collapsed="false">
      <c r="A7" s="97" t="s">
        <v>207</v>
      </c>
      <c r="B7" s="98" t="s">
        <v>208</v>
      </c>
      <c r="C7" s="99" t="n">
        <f aca="false">Cronograma!G16</f>
        <v>46297</v>
      </c>
      <c r="D7" s="98" t="s">
        <v>206</v>
      </c>
    </row>
    <row r="8" customFormat="false" ht="30" hidden="false" customHeight="true" outlineLevel="0" collapsed="false">
      <c r="A8" s="100" t="s">
        <v>209</v>
      </c>
      <c r="B8" s="101" t="s">
        <v>210</v>
      </c>
      <c r="C8" s="102" t="n">
        <f aca="false">Cronograma!G18</f>
        <v>46304</v>
      </c>
      <c r="D8" s="101" t="s">
        <v>211</v>
      </c>
    </row>
    <row r="9" customFormat="false" ht="30" hidden="false" customHeight="true" outlineLevel="0" collapsed="false">
      <c r="A9" s="97" t="s">
        <v>212</v>
      </c>
      <c r="B9" s="98" t="s">
        <v>213</v>
      </c>
      <c r="C9" s="99" t="n">
        <f aca="false">Cronograma!G20</f>
        <v>46316</v>
      </c>
      <c r="D9" s="98" t="s">
        <v>206</v>
      </c>
    </row>
    <row r="10" customFormat="false" ht="30" hidden="false" customHeight="true" outlineLevel="0" collapsed="false">
      <c r="A10" s="103" t="s">
        <v>214</v>
      </c>
      <c r="B10" s="104" t="s">
        <v>215</v>
      </c>
      <c r="C10" s="105" t="n">
        <f aca="false">Cronograma!G23</f>
        <v>46317</v>
      </c>
      <c r="D10" s="104" t="s">
        <v>216</v>
      </c>
    </row>
    <row r="11" customFormat="false" ht="30" hidden="false" customHeight="true" outlineLevel="0" collapsed="false">
      <c r="A11" s="97" t="s">
        <v>217</v>
      </c>
      <c r="B11" s="98" t="s">
        <v>218</v>
      </c>
      <c r="C11" s="99" t="n">
        <f aca="false">Cronograma!F27</f>
        <v>46331</v>
      </c>
      <c r="D11" s="98" t="s">
        <v>145</v>
      </c>
    </row>
    <row r="12" customFormat="false" ht="30" hidden="false" customHeight="true" outlineLevel="0" collapsed="false">
      <c r="A12" s="100" t="s">
        <v>219</v>
      </c>
      <c r="B12" s="101" t="s">
        <v>220</v>
      </c>
      <c r="C12" s="102" t="n">
        <f aca="false">Cronograma!F29</f>
        <v>46343</v>
      </c>
      <c r="D12" s="101" t="s">
        <v>152</v>
      </c>
    </row>
    <row r="13" customFormat="false" ht="30" hidden="false" customHeight="true" outlineLevel="0" collapsed="false">
      <c r="A13" s="103" t="s">
        <v>221</v>
      </c>
      <c r="B13" s="104" t="s">
        <v>222</v>
      </c>
      <c r="C13" s="105" t="n">
        <f aca="false">Cronograma!G32</f>
        <v>46349</v>
      </c>
      <c r="D13" s="104" t="s">
        <v>223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3D8F"/>
    <pageSetUpPr fitToPage="false"/>
  </sheetPr>
  <dimension ref="A1: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62"/>
    <col collapsed="false" customWidth="true" hidden="false" outlineLevel="0" max="26" min="4" style="1" width="8.71"/>
  </cols>
  <sheetData>
    <row r="1" customFormat="false" ht="25.5" hidden="false" customHeight="true" outlineLevel="0" collapsed="false">
      <c r="A1" s="96" t="s">
        <v>224</v>
      </c>
      <c r="B1" s="96"/>
      <c r="C1" s="96"/>
    </row>
    <row r="2" customFormat="false" ht="15" hidden="false" customHeight="true" outlineLevel="0" collapsed="false">
      <c r="A2" s="24" t="s">
        <v>225</v>
      </c>
      <c r="B2" s="24" t="s">
        <v>226</v>
      </c>
      <c r="C2" s="24" t="s">
        <v>227</v>
      </c>
    </row>
    <row r="3" customFormat="false" ht="27.75" hidden="false" customHeight="true" outlineLevel="0" collapsed="false">
      <c r="A3" s="106" t="s">
        <v>228</v>
      </c>
      <c r="B3" s="107" t="s">
        <v>229</v>
      </c>
      <c r="C3" s="108" t="s">
        <v>230</v>
      </c>
    </row>
    <row r="4" customFormat="false" ht="27.75" hidden="false" customHeight="true" outlineLevel="0" collapsed="false">
      <c r="A4" s="109" t="s">
        <v>231</v>
      </c>
      <c r="B4" s="110" t="s">
        <v>232</v>
      </c>
      <c r="C4" s="111" t="s">
        <v>233</v>
      </c>
    </row>
    <row r="5" customFormat="false" ht="27.75" hidden="false" customHeight="true" outlineLevel="0" collapsed="false">
      <c r="A5" s="106" t="s">
        <v>234</v>
      </c>
      <c r="B5" s="107" t="s">
        <v>235</v>
      </c>
      <c r="C5" s="108" t="s">
        <v>236</v>
      </c>
    </row>
    <row r="6" customFormat="false" ht="27.75" hidden="false" customHeight="true" outlineLevel="0" collapsed="false">
      <c r="A6" s="109" t="s">
        <v>237</v>
      </c>
      <c r="B6" s="110" t="s">
        <v>238</v>
      </c>
      <c r="C6" s="111" t="s">
        <v>239</v>
      </c>
    </row>
    <row r="7" customFormat="false" ht="27.75" hidden="false" customHeight="true" outlineLevel="0" collapsed="false">
      <c r="A7" s="106" t="s">
        <v>240</v>
      </c>
      <c r="B7" s="107" t="s">
        <v>114</v>
      </c>
      <c r="C7" s="108" t="s">
        <v>241</v>
      </c>
    </row>
    <row r="8" customFormat="false" ht="27.75" hidden="false" customHeight="true" outlineLevel="0" collapsed="false">
      <c r="A8" s="109" t="s">
        <v>242</v>
      </c>
      <c r="B8" s="110" t="s">
        <v>104</v>
      </c>
      <c r="C8" s="111" t="s">
        <v>243</v>
      </c>
    </row>
    <row r="9" customFormat="false" ht="27.75" hidden="false" customHeight="true" outlineLevel="0" collapsed="false">
      <c r="A9" s="106" t="s">
        <v>244</v>
      </c>
      <c r="B9" s="107" t="s">
        <v>245</v>
      </c>
      <c r="C9" s="108" t="s">
        <v>246</v>
      </c>
    </row>
    <row r="10" customFormat="false" ht="27.75" hidden="false" customHeight="true" outlineLevel="0" collapsed="false">
      <c r="A10" s="109" t="s">
        <v>87</v>
      </c>
      <c r="B10" s="110" t="s">
        <v>238</v>
      </c>
      <c r="C10" s="111" t="s">
        <v>247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2026-08-27T15:32:02Z</dcterms:created>
  <dc:creator>openpyxl</dc:creator>
  <dc:description/>
  <dc:language>en-US</dc:language>
  <cp:lastModifiedBy/>
  <dcterms:modified xsi:type="dcterms:W3CDTF">2026-08-27T15:35:22Z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